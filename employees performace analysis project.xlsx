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Puneet\Downloads\"/>
    </mc:Choice>
  </mc:AlternateContent>
  <xr:revisionPtr revIDLastSave="0" documentId="8_{E1E535F6-9960-4F8A-AA1E-24B8A8FBF2C3}" xr6:coauthVersionLast="47" xr6:coauthVersionMax="47" xr10:uidLastSave="{00000000-0000-0000-0000-000000000000}"/>
  <bookViews>
    <workbookView xWindow="-108" yWindow="-108" windowWidth="23256" windowHeight="12456" xr2:uid="{00000000-000D-0000-FFFF-FFFF00000000}"/>
  </bookViews>
  <sheets>
    <sheet name="raw data" sheetId="1" r:id="rId1"/>
    <sheet name="Formating and cleaning data" sheetId="2" r:id="rId2"/>
    <sheet name="Department Composition" sheetId="4" r:id="rId3"/>
    <sheet name="Salary by Department" sheetId="5" r:id="rId4"/>
    <sheet name="Salary by Employee" sheetId="6" r:id="rId5"/>
    <sheet name=" City-wise Salary Split" sheetId="7" r:id="rId6"/>
    <sheet name="Age Group Salary Trend" sheetId="9" r:id="rId7"/>
    <sheet name="Salary Distribution Insight" sheetId="11" r:id="rId8"/>
    <sheet name="Department VS Age Status" sheetId="12" r:id="rId9"/>
    <sheet name="Dashboard" sheetId="13" r:id="rId10"/>
  </sheets>
  <definedNames>
    <definedName name="_xlnm._FilterDatabase" localSheetId="1" hidden="1">'Formating and cleaning data'!$A$1:$J$101</definedName>
    <definedName name="_xlnm._FilterDatabase" localSheetId="0" hidden="1">'raw data'!$A$1:$H$101</definedName>
    <definedName name="Slicer_Age_Status">#N/A</definedName>
    <definedName name="Slicer_Department">#N/A</definedName>
    <definedName name="Slicer_Emp_Name">#N/A</definedName>
    <definedName name="Slicer_Salary_Status">#N/A</definedName>
  </definedNames>
  <calcPr calcId="18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2" i="2"/>
</calcChain>
</file>

<file path=xl/sharedStrings.xml><?xml version="1.0" encoding="utf-8"?>
<sst xmlns="http://schemas.openxmlformats.org/spreadsheetml/2006/main" count="797" uniqueCount="139">
  <si>
    <t>SI No</t>
  </si>
  <si>
    <t>Emp_Name</t>
  </si>
  <si>
    <t>Age</t>
  </si>
  <si>
    <t>DOJ</t>
  </si>
  <si>
    <t>Department</t>
  </si>
  <si>
    <t>Salary</t>
  </si>
  <si>
    <t>city</t>
  </si>
  <si>
    <t>Contact Number</t>
  </si>
  <si>
    <t xml:space="preserve"> aman  singh</t>
  </si>
  <si>
    <t>Data Scientist</t>
  </si>
  <si>
    <t>New Delhi</t>
  </si>
  <si>
    <t xml:space="preserve"> raghav kumar sharma</t>
  </si>
  <si>
    <t>Data Analyst</t>
  </si>
  <si>
    <t>jaipur</t>
  </si>
  <si>
    <t xml:space="preserve"> mohit raj jain</t>
  </si>
  <si>
    <t>Data Engineer</t>
  </si>
  <si>
    <t>patna</t>
  </si>
  <si>
    <t>priyanshu kumar sharma</t>
  </si>
  <si>
    <t>11/13/2023</t>
  </si>
  <si>
    <t>MIS Analyst</t>
  </si>
  <si>
    <t>NOIDA</t>
  </si>
  <si>
    <t>raushan kumar roy</t>
  </si>
  <si>
    <t>4/16/2021</t>
  </si>
  <si>
    <t>Research Analyst</t>
  </si>
  <si>
    <t>KANPUR</t>
  </si>
  <si>
    <t xml:space="preserve"> mandeep singh</t>
  </si>
  <si>
    <t>9/29/2022</t>
  </si>
  <si>
    <t>LUCKNOW</t>
  </si>
  <si>
    <t>suraj  kumar roy</t>
  </si>
  <si>
    <t>5/15/2019</t>
  </si>
  <si>
    <t xml:space="preserve">raman raj </t>
  </si>
  <si>
    <t>10/27/2019</t>
  </si>
  <si>
    <t xml:space="preserve">  uzzair biag</t>
  </si>
  <si>
    <t>shivani singh</t>
  </si>
  <si>
    <t>1/24/2022</t>
  </si>
  <si>
    <t xml:space="preserve"> harmeet kaur</t>
  </si>
  <si>
    <t>ram kumar singh</t>
  </si>
  <si>
    <t>12/20/2022</t>
  </si>
  <si>
    <t xml:space="preserve"> Anil kumar sharma</t>
  </si>
  <si>
    <t>muskan verma</t>
  </si>
  <si>
    <t xml:space="preserve"> Ritika mallik</t>
  </si>
  <si>
    <t>7/19/2023</t>
  </si>
  <si>
    <t>rinku rawat</t>
  </si>
  <si>
    <t>3/22/2020</t>
  </si>
  <si>
    <t>Randheer kumar rana</t>
  </si>
  <si>
    <t>12/26/2023</t>
  </si>
  <si>
    <t>vivek kumar singh</t>
  </si>
  <si>
    <t>9/25/2020</t>
  </si>
  <si>
    <t xml:space="preserve"> anand Mohan</t>
  </si>
  <si>
    <t>6/27/2021</t>
  </si>
  <si>
    <t>krishna sharma</t>
  </si>
  <si>
    <t>11/30/2023</t>
  </si>
  <si>
    <t xml:space="preserve">  mamta sharma</t>
  </si>
  <si>
    <t>5/15/2023</t>
  </si>
  <si>
    <t>priya sharma</t>
  </si>
  <si>
    <t>ronit harsh bardhan</t>
  </si>
  <si>
    <t>1/23/2020</t>
  </si>
  <si>
    <t>mayank kumar sharma</t>
  </si>
  <si>
    <t>sankisha singh</t>
  </si>
  <si>
    <t>12/21/2019</t>
  </si>
  <si>
    <t>manu singh</t>
  </si>
  <si>
    <t xml:space="preserve">  bhanu patel singh</t>
  </si>
  <si>
    <t>8/29/2019</t>
  </si>
  <si>
    <t xml:space="preserve"> Kumod kumar sharma</t>
  </si>
  <si>
    <t>Anmol Asha</t>
  </si>
  <si>
    <t>shashank kumar</t>
  </si>
  <si>
    <t xml:space="preserve"> tanishka gupta</t>
  </si>
  <si>
    <t>prince kumar sharma</t>
  </si>
  <si>
    <t>8/24/2019</t>
  </si>
  <si>
    <t>rajat tomar</t>
  </si>
  <si>
    <t>rajhul kumar jain</t>
  </si>
  <si>
    <t>khushi khatri</t>
  </si>
  <si>
    <t>rishu kumari</t>
  </si>
  <si>
    <t>riya jain</t>
  </si>
  <si>
    <t>jitendra kumar singh</t>
  </si>
  <si>
    <t>8/13/2020</t>
  </si>
  <si>
    <t>12/28/2022</t>
  </si>
  <si>
    <t>4/29/2021</t>
  </si>
  <si>
    <t>2/20/2023</t>
  </si>
  <si>
    <t>9/19/2022</t>
  </si>
  <si>
    <t>8/21/2022</t>
  </si>
  <si>
    <t>6/17/2019</t>
  </si>
  <si>
    <t>8/24/2020</t>
  </si>
  <si>
    <t>3/28/2021</t>
  </si>
  <si>
    <t>9/17/2020</t>
  </si>
  <si>
    <t>8/30/2023</t>
  </si>
  <si>
    <t>3/17/2023</t>
  </si>
  <si>
    <t>5/20/2019</t>
  </si>
  <si>
    <t>4/24/2023</t>
  </si>
  <si>
    <t>4/19/2019</t>
  </si>
  <si>
    <t>5/30/2020</t>
  </si>
  <si>
    <t>3/14/2022</t>
  </si>
  <si>
    <t>1/25/2019</t>
  </si>
  <si>
    <t>6/28/2019</t>
  </si>
  <si>
    <t>4/14/2020</t>
  </si>
  <si>
    <t>8/17/2020</t>
  </si>
  <si>
    <t>7/24/2021</t>
  </si>
  <si>
    <t>10/18/2023</t>
  </si>
  <si>
    <t>4/27/2022</t>
  </si>
  <si>
    <t>4/30/2019</t>
  </si>
  <si>
    <t>1/21/2021</t>
  </si>
  <si>
    <t>4/21/2023</t>
  </si>
  <si>
    <t>8/13/2022</t>
  </si>
  <si>
    <t>9/21/2019</t>
  </si>
  <si>
    <t>1/24/2023</t>
  </si>
  <si>
    <t>11/25/2022</t>
  </si>
  <si>
    <t>8/30/2022</t>
  </si>
  <si>
    <t>6/26/2021</t>
  </si>
  <si>
    <t>1/25/2021</t>
  </si>
  <si>
    <t>1/18/2020</t>
  </si>
  <si>
    <t>12/21/2020</t>
  </si>
  <si>
    <t>3/30/2020</t>
  </si>
  <si>
    <t>1/21/2023</t>
  </si>
  <si>
    <t>6/27/2023</t>
  </si>
  <si>
    <t>8/30/2021</t>
  </si>
  <si>
    <t>8/26/2021</t>
  </si>
  <si>
    <t>3/26/2022</t>
  </si>
  <si>
    <t>Other</t>
  </si>
  <si>
    <t>Average salary</t>
  </si>
  <si>
    <t>Salary Status</t>
  </si>
  <si>
    <t>Average Age</t>
  </si>
  <si>
    <t>Column Labels</t>
  </si>
  <si>
    <t>Grand Total</t>
  </si>
  <si>
    <t>Row Labels</t>
  </si>
  <si>
    <t>Count of Salary Status</t>
  </si>
  <si>
    <t>Medium</t>
  </si>
  <si>
    <t>High</t>
  </si>
  <si>
    <t>Low</t>
  </si>
  <si>
    <t>Junior</t>
  </si>
  <si>
    <t>Middle Age</t>
  </si>
  <si>
    <t>Senoir</t>
  </si>
  <si>
    <t>EMPLOYEE PERFORMANCE ANALYSIS</t>
  </si>
  <si>
    <t>department segments</t>
  </si>
  <si>
    <t>Department VS Age Status BY Salary</t>
  </si>
  <si>
    <t>Salary by Department</t>
  </si>
  <si>
    <t>Salary by Employee</t>
  </si>
  <si>
    <t>Salary by City</t>
  </si>
  <si>
    <t>salary by age status</t>
  </si>
  <si>
    <t>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</si>
</sst>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FFFF00"/>
      <name val="Calibri"/>
      <family val="2"/>
      <scheme val="minor"/>
    </font>
    <font>
      <b/>
      <sz val="24"/>
      <color theme="0"/>
      <name val="Calibri"/>
      <family val="2"/>
      <scheme val="minor"/>
    </font>
    <font>
      <sz val="2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1"/>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10" xfId="0" applyBorder="1"/>
    <xf numFmtId="0" fontId="0" fillId="0" borderId="0" xfId="0" pivotButton="1"/>
    <xf numFmtId="0" fontId="0" fillId="0" borderId="0" xfId="0" applyAlignment="1">
      <alignment horizontal="left"/>
    </xf>
    <xf numFmtId="0" fontId="0" fillId="0" borderId="0" xfId="0" applyAlignment="1">
      <alignment horizontal="center" vertical="top"/>
    </xf>
    <xf numFmtId="0" fontId="0" fillId="0" borderId="11" xfId="0" applyBorder="1" applyAlignment="1">
      <alignment horizontal="center"/>
    </xf>
    <xf numFmtId="0" fontId="0" fillId="0" borderId="10" xfId="0" applyBorder="1" applyAlignment="1">
      <alignment horizontal="center"/>
    </xf>
    <xf numFmtId="14" fontId="0" fillId="0" borderId="10" xfId="0" applyNumberFormat="1"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18" fillId="33" borderId="14" xfId="0" applyFont="1" applyFill="1" applyBorder="1" applyAlignment="1">
      <alignment horizontal="center"/>
    </xf>
    <xf numFmtId="0" fontId="19" fillId="34" borderId="0" xfId="0" applyFont="1" applyFill="1" applyAlignment="1">
      <alignment horizontal="center" vertical="center"/>
    </xf>
    <xf numFmtId="0" fontId="20" fillId="34" borderId="0" xfId="0" applyFont="1" applyFill="1" applyAlignment="1">
      <alignment horizontal="center" vertical="center"/>
    </xf>
    <xf numFmtId="0" fontId="0" fillId="0" borderId="0" xfId="0" applyNumberFormat="1"/>
    <xf numFmtId="14" fontId="0" fillId="0" borderId="10" xfId="0" applyNumberFormat="1" applyBorder="1"/>
    <xf numFmtId="0" fontId="1" fillId="27" borderId="7" xfId="36" applyBorder="1"/>
    <xf numFmtId="0" fontId="1" fillId="20" borderId="7" xfId="29"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
    <dxf>
      <numFmt numFmtId="0" formatCode="General"/>
    </dxf>
    <dxf>
      <numFmt numFmtId="0" formatCode="Genera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5700"/>
      </font>
      <fill>
        <patternFill>
          <bgColor rgb="FFFFEB9C"/>
        </patternFill>
      </fill>
    </dxf>
    <dxf>
      <font>
        <color rgb="FF006100"/>
      </font>
      <fill>
        <patternFill>
          <bgColor rgb="FFC6EFCE"/>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rgb="FFFFFF00"/>
        <name val="Calibri"/>
        <family val="2"/>
        <scheme val="minor"/>
      </font>
      <fill>
        <patternFill patternType="solid">
          <fgColor indexed="64"/>
          <bgColor rgb="FFFF000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performace analysis project.xlsx]Department Composition!PivotTable1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Department Composition</a:t>
            </a:r>
            <a:endParaRPr lang="en-IN"/>
          </a:p>
        </c:rich>
      </c:tx>
      <c:layout>
        <c:manualLayout>
          <c:xMode val="edge"/>
          <c:yMode val="edge"/>
          <c:x val="0.13755023579799006"/>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3786818314377369"/>
          <c:w val="0.6388438240994524"/>
          <c:h val="0.80657626130067073"/>
        </c:manualLayout>
      </c:layout>
      <c:pie3DChart>
        <c:varyColors val="1"/>
        <c:ser>
          <c:idx val="0"/>
          <c:order val="0"/>
          <c:tx>
            <c:strRef>
              <c:f>'Department Composition'!$B$3</c:f>
              <c:strCache>
                <c:ptCount val="1"/>
                <c:pt idx="0">
                  <c:v>Total</c:v>
                </c:pt>
              </c:strCache>
            </c:strRef>
          </c:tx>
          <c:explosion val="8"/>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F1D-4501-AC0A-89504451E87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F1D-4501-AC0A-89504451E87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F1D-4501-AC0A-89504451E87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F1D-4501-AC0A-89504451E87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F1D-4501-AC0A-89504451E87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AF1D-4501-AC0A-89504451E873}"/>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'Department Composition'!$A$4:$A$10</c:f>
              <c:strCache>
                <c:ptCount val="6"/>
                <c:pt idx="0">
                  <c:v>Data Analyst</c:v>
                </c:pt>
                <c:pt idx="1">
                  <c:v>Data Engineer</c:v>
                </c:pt>
                <c:pt idx="2">
                  <c:v>Data Scientist</c:v>
                </c:pt>
                <c:pt idx="3">
                  <c:v>MIS Analyst</c:v>
                </c:pt>
                <c:pt idx="4">
                  <c:v>Other</c:v>
                </c:pt>
                <c:pt idx="5">
                  <c:v>Research Analyst</c:v>
                </c:pt>
              </c:strCache>
            </c:strRef>
          </c:cat>
          <c:val>
            <c:numRef>
              <c:f>'Department Composition'!$B$4:$B$10</c:f>
              <c:numCache>
                <c:formatCode>General</c:formatCode>
                <c:ptCount val="6"/>
                <c:pt idx="0">
                  <c:v>18</c:v>
                </c:pt>
                <c:pt idx="1">
                  <c:v>18</c:v>
                </c:pt>
                <c:pt idx="2">
                  <c:v>18</c:v>
                </c:pt>
                <c:pt idx="3">
                  <c:v>18</c:v>
                </c:pt>
                <c:pt idx="4">
                  <c:v>10</c:v>
                </c:pt>
                <c:pt idx="5">
                  <c:v>18</c:v>
                </c:pt>
              </c:numCache>
            </c:numRef>
          </c:val>
          <c:extLst>
            <c:ext xmlns:c16="http://schemas.microsoft.com/office/drawing/2014/chart" uri="{C3380CC4-5D6E-409C-BE32-E72D297353CC}">
              <c16:uniqueId val="{00000001-4C5B-4ECA-BF35-6AA735FEC2F9}"/>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performace analysis project.xlsx]Salary by Department!PivotTable2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Salary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by Department'!$B$3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'Salary by Department'!$A$4:$A$9</c:f>
              <c:strCache>
                <c:ptCount val="6"/>
                <c:pt idx="0">
                  <c:v>Data Analyst</c:v>
                </c:pt>
                <c:pt idx="1">
                  <c:v>Data Engineer</c:v>
                </c:pt>
                <c:pt idx="2">
                  <c:v>Data Scientist</c:v>
                </c:pt>
                <c:pt idx="3">
                  <c:v>MIS Analyst</c:v>
                </c:pt>
                <c:pt idx="4">
                  <c:v>Other</c:v>
                </c:pt>
                <c:pt idx="5">
                  <c:v>Research Analyst</c:v>
                </c:pt>
              </c:strCache>
            </c:strRef>
          </c:cat>
          <c:val>
            <c:numRef>
              <c:f>'Salary by Department'!$B$4:$B$9</c:f>
              <c:numCache>
                <c:formatCode>General</c:formatCode>
                <c:ptCount val="6"/>
                <c:pt idx="0">
                  <c:v>808553</c:v>
                </c:pt>
                <c:pt idx="1">
                  <c:v>694376</c:v>
                </c:pt>
                <c:pt idx="2">
                  <c:v>837010</c:v>
                </c:pt>
                <c:pt idx="3">
                  <c:v>814885</c:v>
                </c:pt>
                <c:pt idx="4">
                  <c:v>412222</c:v>
                </c:pt>
                <c:pt idx="5">
                  <c:v>777614</c:v>
                </c:pt>
              </c:numCache>
            </c:numRef>
          </c:val>
          <c:extLst>
            <c:ext xmlns:c16="http://schemas.microsoft.com/office/drawing/2014/chart" uri="{C3380CC4-5D6E-409C-BE32-E72D297353CC}">
              <c16:uniqueId val="{00000002-4F7D-4813-BA6D-857F7A6CB4A7}"/>
            </c:ext>
          </c:extLst>
        </c:ser>
        <c:dLbls>
          <c:showLegendKey val="0"/>
          <c:showVal val="0"/>
          <c:showCatName val="0"/>
          <c:showSerName val="0"/>
          <c:showPercent val="0"/>
          <c:showBubbleSize val="0"/>
        </c:dLbls>
        <c:gapWidth val="100"/>
        <c:overlap val="-24"/>
        <c:axId val="1558434400"/>
        <c:axId val="1558433984"/>
      </c:barChart>
      <c:catAx>
        <c:axId val="155843440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8433984"/>
        <c:crosses val="autoZero"/>
        <c:auto val="1"/>
        <c:lblAlgn val="ctr"/>
        <c:lblOffset val="100"/>
        <c:noMultiLvlLbl val="0"/>
      </c:catAx>
      <c:valAx>
        <c:axId val="1558433984"/>
        <c:scaling>
          <c:orientation val="minMax"/>
        </c:scaling>
        <c:delete val="0"/>
        <c:axPos val="l"/>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8434400"/>
        <c:crosses val="autoZero"/>
        <c:crossBetween val="between"/>
        <c:dispUnits>
          <c:builtInUnit val="thousands"/>
          <c:dispUnitsLbl>
            <c:layout>
              <c:manualLayout>
                <c:xMode val="edge"/>
                <c:yMode val="edge"/>
                <c:x val="2.5000000000000001E-2"/>
                <c:y val="0.34041666666666665"/>
              </c:manualLayout>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performace analysis project.xlsx]Salary by Employee!PivotTable3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Salary by Employee</a:t>
            </a:r>
          </a:p>
        </c:rich>
      </c:tx>
      <c:layout>
        <c:manualLayout>
          <c:xMode val="edge"/>
          <c:yMode val="edge"/>
          <c:x val="0.34586418885139358"/>
          <c:y val="5.4534849810440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 by Employee'!$B$4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'Salary by Employee'!$A$5:$A$14</c:f>
              <c:strCache>
                <c:ptCount val="10"/>
                <c:pt idx="0">
                  <c:v>  uzzair biag</c:v>
                </c:pt>
                <c:pt idx="1">
                  <c:v> aman  singh</c:v>
                </c:pt>
                <c:pt idx="2">
                  <c:v> anand Mohan</c:v>
                </c:pt>
                <c:pt idx="3">
                  <c:v>muskan verma</c:v>
                </c:pt>
                <c:pt idx="4">
                  <c:v>priya sharma</c:v>
                </c:pt>
                <c:pt idx="5">
                  <c:v>priyanshu kumar sharma</c:v>
                </c:pt>
                <c:pt idx="6">
                  <c:v>raman raj </c:v>
                </c:pt>
                <c:pt idx="7">
                  <c:v>raushan kumar roy</c:v>
                </c:pt>
                <c:pt idx="8">
                  <c:v>rinku rawat</c:v>
                </c:pt>
                <c:pt idx="9">
                  <c:v>suraj  kumar roy</c:v>
                </c:pt>
              </c:strCache>
            </c:strRef>
          </c:cat>
          <c:val>
            <c:numRef>
              <c:f>'Salary by Employee'!$B$5:$B$14</c:f>
              <c:numCache>
                <c:formatCode>General</c:formatCode>
                <c:ptCount val="10"/>
                <c:pt idx="0">
                  <c:v>157370</c:v>
                </c:pt>
                <c:pt idx="1">
                  <c:v>164989</c:v>
                </c:pt>
                <c:pt idx="2">
                  <c:v>160225</c:v>
                </c:pt>
                <c:pt idx="3">
                  <c:v>150647</c:v>
                </c:pt>
                <c:pt idx="4">
                  <c:v>157597</c:v>
                </c:pt>
                <c:pt idx="5">
                  <c:v>144973</c:v>
                </c:pt>
                <c:pt idx="6">
                  <c:v>167127</c:v>
                </c:pt>
                <c:pt idx="7">
                  <c:v>142420</c:v>
                </c:pt>
                <c:pt idx="8">
                  <c:v>183799</c:v>
                </c:pt>
                <c:pt idx="9">
                  <c:v>182292</c:v>
                </c:pt>
              </c:numCache>
            </c:numRef>
          </c:val>
          <c:extLst>
            <c:ext xmlns:c16="http://schemas.microsoft.com/office/drawing/2014/chart" uri="{C3380CC4-5D6E-409C-BE32-E72D297353CC}">
              <c16:uniqueId val="{00000000-24D6-4491-B134-DBBB1CEC8E37}"/>
            </c:ext>
          </c:extLst>
        </c:ser>
        <c:dLbls>
          <c:showLegendKey val="0"/>
          <c:showVal val="0"/>
          <c:showCatName val="0"/>
          <c:showSerName val="0"/>
          <c:showPercent val="0"/>
          <c:showBubbleSize val="0"/>
        </c:dLbls>
        <c:gapWidth val="115"/>
        <c:overlap val="-20"/>
        <c:axId val="1573514704"/>
        <c:axId val="1573515120"/>
      </c:barChart>
      <c:catAx>
        <c:axId val="15735147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3515120"/>
        <c:crosses val="autoZero"/>
        <c:auto val="1"/>
        <c:lblAlgn val="ctr"/>
        <c:lblOffset val="100"/>
        <c:noMultiLvlLbl val="0"/>
      </c:catAx>
      <c:valAx>
        <c:axId val="1573515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3514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performace analysis project.xlsx] City-wise Salary Split!PivotTable4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City-wise Salary Split</a:t>
            </a:r>
          </a:p>
        </c:rich>
      </c:tx>
      <c:layout>
        <c:manualLayout>
          <c:xMode val="edge"/>
          <c:yMode val="edge"/>
          <c:x val="0.23784711286089238"/>
          <c:y val="8.333333333333332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3760301837270342"/>
          <c:y val="0.24902850685331002"/>
          <c:w val="0.37702559055118112"/>
          <c:h val="0.6283759842519685"/>
        </c:manualLayout>
      </c:layout>
      <c:doughnutChart>
        <c:varyColors val="1"/>
        <c:ser>
          <c:idx val="0"/>
          <c:order val="0"/>
          <c:tx>
            <c:strRef>
              <c:f>' City-wise Salary Split'!$B$3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957-4C64-AEE3-5D699EE4E25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957-4C64-AEE3-5D699EE4E25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957-4C64-AEE3-5D699EE4E25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957-4C64-AEE3-5D699EE4E25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957-4C64-AEE3-5D699EE4E25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957-4C64-AEE3-5D699EE4E259}"/>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City-wise Salary Split'!$A$4:$A$10</c:f>
              <c:strCache>
                <c:ptCount val="6"/>
                <c:pt idx="0">
                  <c:v>jaipur</c:v>
                </c:pt>
                <c:pt idx="1">
                  <c:v>KANPUR</c:v>
                </c:pt>
                <c:pt idx="2">
                  <c:v>LUCKNOW</c:v>
                </c:pt>
                <c:pt idx="3">
                  <c:v>New Delhi</c:v>
                </c:pt>
                <c:pt idx="4">
                  <c:v>NOIDA</c:v>
                </c:pt>
                <c:pt idx="5">
                  <c:v>patna</c:v>
                </c:pt>
              </c:strCache>
            </c:strRef>
          </c:cat>
          <c:val>
            <c:numRef>
              <c:f>' City-wise Salary Split'!$B$4:$B$10</c:f>
              <c:numCache>
                <c:formatCode>General</c:formatCode>
                <c:ptCount val="6"/>
                <c:pt idx="0">
                  <c:v>780889</c:v>
                </c:pt>
                <c:pt idx="1">
                  <c:v>702728</c:v>
                </c:pt>
                <c:pt idx="2">
                  <c:v>731500</c:v>
                </c:pt>
                <c:pt idx="3">
                  <c:v>730129</c:v>
                </c:pt>
                <c:pt idx="4">
                  <c:v>729022</c:v>
                </c:pt>
                <c:pt idx="5">
                  <c:v>670392</c:v>
                </c:pt>
              </c:numCache>
            </c:numRef>
          </c:val>
          <c:extLst>
            <c:ext xmlns:c16="http://schemas.microsoft.com/office/drawing/2014/chart" uri="{C3380CC4-5D6E-409C-BE32-E72D297353CC}">
              <c16:uniqueId val="{00000000-1E14-43C9-A2F1-9BE9E780A73E}"/>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performace analysis project.xlsx]Age Group Salary Trend!PivotTable7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Group Salary Trend</a:t>
            </a:r>
          </a:p>
        </c:rich>
      </c:tx>
      <c:layout>
        <c:manualLayout>
          <c:xMode val="edge"/>
          <c:yMode val="edge"/>
          <c:x val="0.32034011373578303"/>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'Age Group Salary Trend'!$B$3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 Salary Trend'!$A$4:$A$7</c:f>
              <c:strCache>
                <c:ptCount val="3"/>
                <c:pt idx="0">
                  <c:v>Junior</c:v>
                </c:pt>
                <c:pt idx="1">
                  <c:v>Middle Age</c:v>
                </c:pt>
                <c:pt idx="2">
                  <c:v>Senoir</c:v>
                </c:pt>
              </c:strCache>
            </c:strRef>
          </c:cat>
          <c:val>
            <c:numRef>
              <c:f>'Age Group Salary Trend'!$B$4:$B$7</c:f>
              <c:numCache>
                <c:formatCode>General</c:formatCode>
                <c:ptCount val="3"/>
                <c:pt idx="0">
                  <c:v>2142834</c:v>
                </c:pt>
                <c:pt idx="1">
                  <c:v>1816771</c:v>
                </c:pt>
                <c:pt idx="2">
                  <c:v>385055</c:v>
                </c:pt>
              </c:numCache>
            </c:numRef>
          </c:val>
          <c:extLst>
            <c:ext xmlns:c16="http://schemas.microsoft.com/office/drawing/2014/chart" uri="{C3380CC4-5D6E-409C-BE32-E72D297353CC}">
              <c16:uniqueId val="{00000000-AD66-4E8D-827C-780DA38634BB}"/>
            </c:ext>
          </c:extLst>
        </c:ser>
        <c:dLbls>
          <c:showLegendKey val="0"/>
          <c:showVal val="0"/>
          <c:showCatName val="0"/>
          <c:showSerName val="0"/>
          <c:showPercent val="0"/>
          <c:showBubbleSize val="0"/>
        </c:dLbls>
        <c:gapWidth val="150"/>
        <c:overlap val="100"/>
        <c:axId val="1793928000"/>
        <c:axId val="1793926336"/>
      </c:barChart>
      <c:catAx>
        <c:axId val="1793928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926336"/>
        <c:crosses val="autoZero"/>
        <c:auto val="1"/>
        <c:lblAlgn val="ctr"/>
        <c:lblOffset val="100"/>
        <c:noMultiLvlLbl val="0"/>
      </c:catAx>
      <c:valAx>
        <c:axId val="1793926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928000"/>
        <c:crosses val="autoZero"/>
        <c:crossBetween val="between"/>
        <c:dispUnits>
          <c:builtInUnit val="thousands"/>
          <c:dispUnitsLbl>
            <c:layout>
              <c:manualLayout>
                <c:xMode val="edge"/>
                <c:yMode val="edge"/>
                <c:x val="1.9444444444444445E-2"/>
                <c:y val="0.31263888888888891"/>
              </c:manualLayout>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performace analysis project.xlsx]Salary Distribution Insight!PivotTable8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Salary Distribution Insight</a:t>
            </a:r>
          </a:p>
        </c:rich>
      </c:tx>
      <c:layout>
        <c:manualLayout>
          <c:xMode val="edge"/>
          <c:yMode val="edge"/>
          <c:x val="0.22068044619422572"/>
          <c:y val="6.37941090696996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'Salary Distribution Insight'!$B$3</c:f>
              <c:strCache>
                <c:ptCount val="1"/>
                <c:pt idx="0">
                  <c:v>Total</c:v>
                </c:pt>
              </c:strCache>
            </c:strRef>
          </c:tx>
          <c:dPt>
            <c:idx val="0"/>
            <c:bubble3D val="0"/>
            <c:explosion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B68-4217-84CB-F0DCEE986518}"/>
              </c:ext>
            </c:extLst>
          </c:dPt>
          <c:dPt>
            <c:idx val="1"/>
            <c:bubble3D val="0"/>
            <c:explosion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B68-4217-84CB-F0DCEE98651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B68-4217-84CB-F0DCEE986518}"/>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'Salary Distribution Insight'!$A$4:$A$7</c:f>
              <c:strCache>
                <c:ptCount val="3"/>
                <c:pt idx="0">
                  <c:v>High</c:v>
                </c:pt>
                <c:pt idx="1">
                  <c:v>Low</c:v>
                </c:pt>
                <c:pt idx="2">
                  <c:v>Medium</c:v>
                </c:pt>
              </c:strCache>
            </c:strRef>
          </c:cat>
          <c:val>
            <c:numRef>
              <c:f>'Salary Distribution Insight'!$B$4:$B$7</c:f>
              <c:numCache>
                <c:formatCode>General</c:formatCode>
                <c:ptCount val="3"/>
                <c:pt idx="0">
                  <c:v>21</c:v>
                </c:pt>
                <c:pt idx="1">
                  <c:v>50</c:v>
                </c:pt>
                <c:pt idx="2">
                  <c:v>29</c:v>
                </c:pt>
              </c:numCache>
            </c:numRef>
          </c:val>
          <c:extLst>
            <c:ext xmlns:c16="http://schemas.microsoft.com/office/drawing/2014/chart" uri="{C3380CC4-5D6E-409C-BE32-E72D297353CC}">
              <c16:uniqueId val="{00000000-B162-42C4-A01A-31D66B8CCA4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performace analysis project.xlsx]Department VS Age Status!PivotTable9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Department VS Age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'Department VS Age Status'!$B$3:$B$4</c:f>
              <c:strCache>
                <c:ptCount val="1"/>
                <c:pt idx="0">
                  <c:v>Junior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'Department VS Age Status'!$A$5:$A$11</c:f>
              <c:strCache>
                <c:ptCount val="6"/>
                <c:pt idx="0">
                  <c:v>Data Analyst</c:v>
                </c:pt>
                <c:pt idx="1">
                  <c:v>Data Engineer</c:v>
                </c:pt>
                <c:pt idx="2">
                  <c:v>Data Scientist</c:v>
                </c:pt>
                <c:pt idx="3">
                  <c:v>MIS Analyst</c:v>
                </c:pt>
                <c:pt idx="4">
                  <c:v>Other</c:v>
                </c:pt>
                <c:pt idx="5">
                  <c:v>Research Analyst</c:v>
                </c:pt>
              </c:strCache>
            </c:strRef>
          </c:cat>
          <c:val>
            <c:numRef>
              <c:f>'Department VS Age Status'!$B$5:$B$11</c:f>
              <c:numCache>
                <c:formatCode>General</c:formatCode>
                <c:ptCount val="6"/>
                <c:pt idx="0">
                  <c:v>531486</c:v>
                </c:pt>
                <c:pt idx="1">
                  <c:v>263468</c:v>
                </c:pt>
                <c:pt idx="2">
                  <c:v>492280</c:v>
                </c:pt>
                <c:pt idx="3">
                  <c:v>339238</c:v>
                </c:pt>
                <c:pt idx="4">
                  <c:v>166863</c:v>
                </c:pt>
                <c:pt idx="5">
                  <c:v>349499</c:v>
                </c:pt>
              </c:numCache>
            </c:numRef>
          </c:val>
          <c:extLst>
            <c:ext xmlns:c16="http://schemas.microsoft.com/office/drawing/2014/chart" uri="{C3380CC4-5D6E-409C-BE32-E72D297353CC}">
              <c16:uniqueId val="{00000000-63DF-402B-A1E2-DFB0D8E42F34}"/>
            </c:ext>
          </c:extLst>
        </c:ser>
        <c:ser>
          <c:idx val="1"/>
          <c:order val="1"/>
          <c:tx>
            <c:strRef>
              <c:f>'Department VS Age Status'!$C$3:$C$4</c:f>
              <c:strCache>
                <c:ptCount val="1"/>
                <c:pt idx="0">
                  <c:v>Middle Age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'Department VS Age Status'!$A$5:$A$11</c:f>
              <c:strCache>
                <c:ptCount val="6"/>
                <c:pt idx="0">
                  <c:v>Data Analyst</c:v>
                </c:pt>
                <c:pt idx="1">
                  <c:v>Data Engineer</c:v>
                </c:pt>
                <c:pt idx="2">
                  <c:v>Data Scientist</c:v>
                </c:pt>
                <c:pt idx="3">
                  <c:v>MIS Analyst</c:v>
                </c:pt>
                <c:pt idx="4">
                  <c:v>Other</c:v>
                </c:pt>
                <c:pt idx="5">
                  <c:v>Research Analyst</c:v>
                </c:pt>
              </c:strCache>
            </c:strRef>
          </c:cat>
          <c:val>
            <c:numRef>
              <c:f>'Department VS Age Status'!$C$5:$C$11</c:f>
              <c:numCache>
                <c:formatCode>General</c:formatCode>
                <c:ptCount val="6"/>
                <c:pt idx="0">
                  <c:v>277067</c:v>
                </c:pt>
                <c:pt idx="1">
                  <c:v>306406</c:v>
                </c:pt>
                <c:pt idx="2">
                  <c:v>208309</c:v>
                </c:pt>
                <c:pt idx="3">
                  <c:v>437277</c:v>
                </c:pt>
                <c:pt idx="4">
                  <c:v>245359</c:v>
                </c:pt>
                <c:pt idx="5">
                  <c:v>342353</c:v>
                </c:pt>
              </c:numCache>
            </c:numRef>
          </c:val>
          <c:extLst>
            <c:ext xmlns:c16="http://schemas.microsoft.com/office/drawing/2014/chart" uri="{C3380CC4-5D6E-409C-BE32-E72D297353CC}">
              <c16:uniqueId val="{00000001-63DF-402B-A1E2-DFB0D8E42F34}"/>
            </c:ext>
          </c:extLst>
        </c:ser>
        <c:ser>
          <c:idx val="2"/>
          <c:order val="2"/>
          <c:tx>
            <c:strRef>
              <c:f>'Department VS Age Status'!$D$3:$D$4</c:f>
              <c:strCache>
                <c:ptCount val="1"/>
                <c:pt idx="0">
                  <c:v>Senoir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'Department VS Age Status'!$A$5:$A$11</c:f>
              <c:strCache>
                <c:ptCount val="6"/>
                <c:pt idx="0">
                  <c:v>Data Analyst</c:v>
                </c:pt>
                <c:pt idx="1">
                  <c:v>Data Engineer</c:v>
                </c:pt>
                <c:pt idx="2">
                  <c:v>Data Scientist</c:v>
                </c:pt>
                <c:pt idx="3">
                  <c:v>MIS Analyst</c:v>
                </c:pt>
                <c:pt idx="4">
                  <c:v>Other</c:v>
                </c:pt>
                <c:pt idx="5">
                  <c:v>Research Analyst</c:v>
                </c:pt>
              </c:strCache>
            </c:strRef>
          </c:cat>
          <c:val>
            <c:numRef>
              <c:f>'Department VS Age Status'!$D$5:$D$11</c:f>
              <c:numCache>
                <c:formatCode>General</c:formatCode>
                <c:ptCount val="6"/>
                <c:pt idx="1">
                  <c:v>124502</c:v>
                </c:pt>
                <c:pt idx="2">
                  <c:v>136421</c:v>
                </c:pt>
                <c:pt idx="3">
                  <c:v>38370</c:v>
                </c:pt>
                <c:pt idx="5">
                  <c:v>85762</c:v>
                </c:pt>
              </c:numCache>
            </c:numRef>
          </c:val>
          <c:extLst>
            <c:ext xmlns:c16="http://schemas.microsoft.com/office/drawing/2014/chart" uri="{C3380CC4-5D6E-409C-BE32-E72D297353CC}">
              <c16:uniqueId val="{00000002-63DF-402B-A1E2-DFB0D8E42F34}"/>
            </c:ext>
          </c:extLst>
        </c:ser>
        <c:dLbls>
          <c:showLegendKey val="0"/>
          <c:showVal val="0"/>
          <c:showCatName val="0"/>
          <c:showSerName val="0"/>
          <c:showPercent val="0"/>
          <c:showBubbleSize val="0"/>
        </c:dLbls>
        <c:gapWidth val="150"/>
        <c:shape val="box"/>
        <c:axId val="1551852896"/>
        <c:axId val="1551850816"/>
        <c:axId val="0"/>
      </c:bar3DChart>
      <c:catAx>
        <c:axId val="1551852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1850816"/>
        <c:crosses val="autoZero"/>
        <c:auto val="1"/>
        <c:lblAlgn val="ctr"/>
        <c:lblOffset val="100"/>
        <c:noMultiLvlLbl val="0"/>
      </c:catAx>
      <c:valAx>
        <c:axId val="155185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1852896"/>
        <c:crosses val="autoZero"/>
        <c:crossBetween val="between"/>
        <c:dispUnits>
          <c:builtInUnit val="thousands"/>
          <c:dispUnitsLbl>
            <c:layout>
              <c:manualLayout>
                <c:xMode val="edge"/>
                <c:yMode val="edge"/>
                <c:x val="2.9746281714785657E-2"/>
                <c:y val="0.3812992125984252"/>
              </c:manualLayout>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performace analysis project.xlsx]Salary by Employee!PivotTable3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Salary by Employee</a:t>
            </a:r>
          </a:p>
        </c:rich>
      </c:tx>
      <c:layout>
        <c:manualLayout>
          <c:xMode val="edge"/>
          <c:yMode val="edge"/>
          <c:x val="0.2136441843516951"/>
          <c:y val="3.881171693160996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 by Employee'!$B$4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'Salary by Employee'!$A$5:$A$14</c:f>
              <c:strCache>
                <c:ptCount val="10"/>
                <c:pt idx="0">
                  <c:v>  uzzair biag</c:v>
                </c:pt>
                <c:pt idx="1">
                  <c:v> aman  singh</c:v>
                </c:pt>
                <c:pt idx="2">
                  <c:v> anand Mohan</c:v>
                </c:pt>
                <c:pt idx="3">
                  <c:v>muskan verma</c:v>
                </c:pt>
                <c:pt idx="4">
                  <c:v>priya sharma</c:v>
                </c:pt>
                <c:pt idx="5">
                  <c:v>priyanshu kumar sharma</c:v>
                </c:pt>
                <c:pt idx="6">
                  <c:v>raman raj </c:v>
                </c:pt>
                <c:pt idx="7">
                  <c:v>raushan kumar roy</c:v>
                </c:pt>
                <c:pt idx="8">
                  <c:v>rinku rawat</c:v>
                </c:pt>
                <c:pt idx="9">
                  <c:v>suraj  kumar roy</c:v>
                </c:pt>
              </c:strCache>
            </c:strRef>
          </c:cat>
          <c:val>
            <c:numRef>
              <c:f>'Salary by Employee'!$B$5:$B$14</c:f>
              <c:numCache>
                <c:formatCode>General</c:formatCode>
                <c:ptCount val="10"/>
                <c:pt idx="0">
                  <c:v>157370</c:v>
                </c:pt>
                <c:pt idx="1">
                  <c:v>164989</c:v>
                </c:pt>
                <c:pt idx="2">
                  <c:v>160225</c:v>
                </c:pt>
                <c:pt idx="3">
                  <c:v>150647</c:v>
                </c:pt>
                <c:pt idx="4">
                  <c:v>157597</c:v>
                </c:pt>
                <c:pt idx="5">
                  <c:v>144973</c:v>
                </c:pt>
                <c:pt idx="6">
                  <c:v>167127</c:v>
                </c:pt>
                <c:pt idx="7">
                  <c:v>142420</c:v>
                </c:pt>
                <c:pt idx="8">
                  <c:v>183799</c:v>
                </c:pt>
                <c:pt idx="9">
                  <c:v>182292</c:v>
                </c:pt>
              </c:numCache>
            </c:numRef>
          </c:val>
          <c:extLst>
            <c:ext xmlns:c16="http://schemas.microsoft.com/office/drawing/2014/chart" uri="{C3380CC4-5D6E-409C-BE32-E72D297353CC}">
              <c16:uniqueId val="{00000000-BA91-4538-95EF-E90AE6937745}"/>
            </c:ext>
          </c:extLst>
        </c:ser>
        <c:dLbls>
          <c:showLegendKey val="0"/>
          <c:showVal val="0"/>
          <c:showCatName val="0"/>
          <c:showSerName val="0"/>
          <c:showPercent val="0"/>
          <c:showBubbleSize val="0"/>
        </c:dLbls>
        <c:gapWidth val="115"/>
        <c:overlap val="-20"/>
        <c:axId val="1573514704"/>
        <c:axId val="1573515120"/>
      </c:barChart>
      <c:catAx>
        <c:axId val="15735147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3515120"/>
        <c:crosses val="autoZero"/>
        <c:auto val="1"/>
        <c:lblAlgn val="ctr"/>
        <c:lblOffset val="100"/>
        <c:noMultiLvlLbl val="0"/>
      </c:catAx>
      <c:valAx>
        <c:axId val="1573515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3514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performace analysis project.xlsx]Department VS Age Status!PivotTable9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Department VS Age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'Department VS Age Status'!$B$3:$B$4</c:f>
              <c:strCache>
                <c:ptCount val="1"/>
                <c:pt idx="0">
                  <c:v>Junior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'Department VS Age Status'!$A$5:$A$11</c:f>
              <c:strCache>
                <c:ptCount val="6"/>
                <c:pt idx="0">
                  <c:v>Data Analyst</c:v>
                </c:pt>
                <c:pt idx="1">
                  <c:v>Data Engineer</c:v>
                </c:pt>
                <c:pt idx="2">
                  <c:v>Data Scientist</c:v>
                </c:pt>
                <c:pt idx="3">
                  <c:v>MIS Analyst</c:v>
                </c:pt>
                <c:pt idx="4">
                  <c:v>Other</c:v>
                </c:pt>
                <c:pt idx="5">
                  <c:v>Research Analyst</c:v>
                </c:pt>
              </c:strCache>
            </c:strRef>
          </c:cat>
          <c:val>
            <c:numRef>
              <c:f>'Department VS Age Status'!$B$5:$B$11</c:f>
              <c:numCache>
                <c:formatCode>General</c:formatCode>
                <c:ptCount val="6"/>
                <c:pt idx="0">
                  <c:v>531486</c:v>
                </c:pt>
                <c:pt idx="1">
                  <c:v>263468</c:v>
                </c:pt>
                <c:pt idx="2">
                  <c:v>492280</c:v>
                </c:pt>
                <c:pt idx="3">
                  <c:v>339238</c:v>
                </c:pt>
                <c:pt idx="4">
                  <c:v>166863</c:v>
                </c:pt>
                <c:pt idx="5">
                  <c:v>349499</c:v>
                </c:pt>
              </c:numCache>
            </c:numRef>
          </c:val>
          <c:extLst>
            <c:ext xmlns:c16="http://schemas.microsoft.com/office/drawing/2014/chart" uri="{C3380CC4-5D6E-409C-BE32-E72D297353CC}">
              <c16:uniqueId val="{00000000-2D5D-497B-9B93-8C08B39B9370}"/>
            </c:ext>
          </c:extLst>
        </c:ser>
        <c:ser>
          <c:idx val="1"/>
          <c:order val="1"/>
          <c:tx>
            <c:strRef>
              <c:f>'Department VS Age Status'!$C$3:$C$4</c:f>
              <c:strCache>
                <c:ptCount val="1"/>
                <c:pt idx="0">
                  <c:v>Middle Age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'Department VS Age Status'!$A$5:$A$11</c:f>
              <c:strCache>
                <c:ptCount val="6"/>
                <c:pt idx="0">
                  <c:v>Data Analyst</c:v>
                </c:pt>
                <c:pt idx="1">
                  <c:v>Data Engineer</c:v>
                </c:pt>
                <c:pt idx="2">
                  <c:v>Data Scientist</c:v>
                </c:pt>
                <c:pt idx="3">
                  <c:v>MIS Analyst</c:v>
                </c:pt>
                <c:pt idx="4">
                  <c:v>Other</c:v>
                </c:pt>
                <c:pt idx="5">
                  <c:v>Research Analyst</c:v>
                </c:pt>
              </c:strCache>
            </c:strRef>
          </c:cat>
          <c:val>
            <c:numRef>
              <c:f>'Department VS Age Status'!$C$5:$C$11</c:f>
              <c:numCache>
                <c:formatCode>General</c:formatCode>
                <c:ptCount val="6"/>
                <c:pt idx="0">
                  <c:v>277067</c:v>
                </c:pt>
                <c:pt idx="1">
                  <c:v>306406</c:v>
                </c:pt>
                <c:pt idx="2">
                  <c:v>208309</c:v>
                </c:pt>
                <c:pt idx="3">
                  <c:v>437277</c:v>
                </c:pt>
                <c:pt idx="4">
                  <c:v>245359</c:v>
                </c:pt>
                <c:pt idx="5">
                  <c:v>342353</c:v>
                </c:pt>
              </c:numCache>
            </c:numRef>
          </c:val>
          <c:extLst>
            <c:ext xmlns:c16="http://schemas.microsoft.com/office/drawing/2014/chart" uri="{C3380CC4-5D6E-409C-BE32-E72D297353CC}">
              <c16:uniqueId val="{00000001-2D5D-497B-9B93-8C08B39B9370}"/>
            </c:ext>
          </c:extLst>
        </c:ser>
        <c:ser>
          <c:idx val="2"/>
          <c:order val="2"/>
          <c:tx>
            <c:strRef>
              <c:f>'Department VS Age Status'!$D$3:$D$4</c:f>
              <c:strCache>
                <c:ptCount val="1"/>
                <c:pt idx="0">
                  <c:v>Senoir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'Department VS Age Status'!$A$5:$A$11</c:f>
              <c:strCache>
                <c:ptCount val="6"/>
                <c:pt idx="0">
                  <c:v>Data Analyst</c:v>
                </c:pt>
                <c:pt idx="1">
                  <c:v>Data Engineer</c:v>
                </c:pt>
                <c:pt idx="2">
                  <c:v>Data Scientist</c:v>
                </c:pt>
                <c:pt idx="3">
                  <c:v>MIS Analyst</c:v>
                </c:pt>
                <c:pt idx="4">
                  <c:v>Other</c:v>
                </c:pt>
                <c:pt idx="5">
                  <c:v>Research Analyst</c:v>
                </c:pt>
              </c:strCache>
            </c:strRef>
          </c:cat>
          <c:val>
            <c:numRef>
              <c:f>'Department VS Age Status'!$D$5:$D$11</c:f>
              <c:numCache>
                <c:formatCode>General</c:formatCode>
                <c:ptCount val="6"/>
                <c:pt idx="1">
                  <c:v>124502</c:v>
                </c:pt>
                <c:pt idx="2">
                  <c:v>136421</c:v>
                </c:pt>
                <c:pt idx="3">
                  <c:v>38370</c:v>
                </c:pt>
                <c:pt idx="5">
                  <c:v>85762</c:v>
                </c:pt>
              </c:numCache>
            </c:numRef>
          </c:val>
          <c:extLst>
            <c:ext xmlns:c16="http://schemas.microsoft.com/office/drawing/2014/chart" uri="{C3380CC4-5D6E-409C-BE32-E72D297353CC}">
              <c16:uniqueId val="{00000002-2D5D-497B-9B93-8C08B39B9370}"/>
            </c:ext>
          </c:extLst>
        </c:ser>
        <c:dLbls>
          <c:showLegendKey val="0"/>
          <c:showVal val="0"/>
          <c:showCatName val="0"/>
          <c:showSerName val="0"/>
          <c:showPercent val="0"/>
          <c:showBubbleSize val="0"/>
        </c:dLbls>
        <c:gapWidth val="150"/>
        <c:shape val="box"/>
        <c:axId val="1551852896"/>
        <c:axId val="1551850816"/>
        <c:axId val="0"/>
      </c:bar3DChart>
      <c:catAx>
        <c:axId val="1551852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1850816"/>
        <c:crosses val="autoZero"/>
        <c:auto val="1"/>
        <c:lblAlgn val="ctr"/>
        <c:lblOffset val="100"/>
        <c:noMultiLvlLbl val="0"/>
      </c:catAx>
      <c:valAx>
        <c:axId val="155185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1852896"/>
        <c:crosses val="autoZero"/>
        <c:crossBetween val="between"/>
        <c:dispUnits>
          <c:builtInUnit val="thousands"/>
          <c:dispUnitsLbl>
            <c:layout>
              <c:manualLayout>
                <c:xMode val="edge"/>
                <c:yMode val="edge"/>
                <c:x val="2.0291635145817576E-2"/>
                <c:y val="0.34409610342578056"/>
              </c:manualLayout>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performace analysis project.xlsx]Salary by Department!PivotTable2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Salary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by Department'!$B$3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'Salary by Department'!$A$4:$A$9</c:f>
              <c:strCache>
                <c:ptCount val="6"/>
                <c:pt idx="0">
                  <c:v>Data Analyst</c:v>
                </c:pt>
                <c:pt idx="1">
                  <c:v>Data Engineer</c:v>
                </c:pt>
                <c:pt idx="2">
                  <c:v>Data Scientist</c:v>
                </c:pt>
                <c:pt idx="3">
                  <c:v>MIS Analyst</c:v>
                </c:pt>
                <c:pt idx="4">
                  <c:v>Other</c:v>
                </c:pt>
                <c:pt idx="5">
                  <c:v>Research Analyst</c:v>
                </c:pt>
              </c:strCache>
            </c:strRef>
          </c:cat>
          <c:val>
            <c:numRef>
              <c:f>'Salary by Department'!$B$4:$B$9</c:f>
              <c:numCache>
                <c:formatCode>General</c:formatCode>
                <c:ptCount val="6"/>
                <c:pt idx="0">
                  <c:v>808553</c:v>
                </c:pt>
                <c:pt idx="1">
                  <c:v>694376</c:v>
                </c:pt>
                <c:pt idx="2">
                  <c:v>837010</c:v>
                </c:pt>
                <c:pt idx="3">
                  <c:v>814885</c:v>
                </c:pt>
                <c:pt idx="4">
                  <c:v>412222</c:v>
                </c:pt>
                <c:pt idx="5">
                  <c:v>777614</c:v>
                </c:pt>
              </c:numCache>
            </c:numRef>
          </c:val>
          <c:extLst>
            <c:ext xmlns:c16="http://schemas.microsoft.com/office/drawing/2014/chart" uri="{C3380CC4-5D6E-409C-BE32-E72D297353CC}">
              <c16:uniqueId val="{00000002-EEF3-45A9-A906-952FA2036AF3}"/>
            </c:ext>
          </c:extLst>
        </c:ser>
        <c:dLbls>
          <c:showLegendKey val="0"/>
          <c:showVal val="0"/>
          <c:showCatName val="0"/>
          <c:showSerName val="0"/>
          <c:showPercent val="0"/>
          <c:showBubbleSize val="0"/>
        </c:dLbls>
        <c:gapWidth val="100"/>
        <c:overlap val="-24"/>
        <c:axId val="1558434400"/>
        <c:axId val="1558433984"/>
      </c:barChart>
      <c:catAx>
        <c:axId val="155843440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8433984"/>
        <c:crosses val="autoZero"/>
        <c:auto val="1"/>
        <c:lblAlgn val="ctr"/>
        <c:lblOffset val="100"/>
        <c:noMultiLvlLbl val="0"/>
      </c:catAx>
      <c:valAx>
        <c:axId val="1558433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8434400"/>
        <c:crosses val="autoZero"/>
        <c:crossBetween val="between"/>
        <c:dispUnits>
          <c:builtInUnit val="thousands"/>
          <c:dispUnitsLbl>
            <c:layout>
              <c:manualLayout>
                <c:xMode val="edge"/>
                <c:yMode val="edge"/>
                <c:x val="1.6058204035287588E-2"/>
                <c:y val="0.35175656611232636"/>
              </c:manualLayout>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performace analysis project.xlsx]Department Composition!PivotTable1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Department Composition</a:t>
            </a:r>
            <a:endParaRPr lang="en-IN"/>
          </a:p>
        </c:rich>
      </c:tx>
      <c:layout>
        <c:manualLayout>
          <c:xMode val="edge"/>
          <c:yMode val="edge"/>
          <c:x val="0.13755023579799006"/>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7490522018081076"/>
          <c:w val="0.6388438240994524"/>
          <c:h val="0.80657626130067073"/>
        </c:manualLayout>
      </c:layout>
      <c:pie3DChart>
        <c:varyColors val="1"/>
        <c:ser>
          <c:idx val="0"/>
          <c:order val="0"/>
          <c:tx>
            <c:strRef>
              <c:f>'Department Composition'!$B$3</c:f>
              <c:strCache>
                <c:ptCount val="1"/>
                <c:pt idx="0">
                  <c:v>Total</c:v>
                </c:pt>
              </c:strCache>
            </c:strRef>
          </c:tx>
          <c:explosion val="8"/>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830-4648-B3E4-1CE5EC36FA5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830-4648-B3E4-1CE5EC36FA5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830-4648-B3E4-1CE5EC36FA5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830-4648-B3E4-1CE5EC36FA5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B830-4648-B3E4-1CE5EC36FA5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B830-4648-B3E4-1CE5EC36FA52}"/>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'Department Composition'!$A$4:$A$10</c:f>
              <c:strCache>
                <c:ptCount val="6"/>
                <c:pt idx="0">
                  <c:v>Data Analyst</c:v>
                </c:pt>
                <c:pt idx="1">
                  <c:v>Data Engineer</c:v>
                </c:pt>
                <c:pt idx="2">
                  <c:v>Data Scientist</c:v>
                </c:pt>
                <c:pt idx="3">
                  <c:v>MIS Analyst</c:v>
                </c:pt>
                <c:pt idx="4">
                  <c:v>Other</c:v>
                </c:pt>
                <c:pt idx="5">
                  <c:v>Research Analyst</c:v>
                </c:pt>
              </c:strCache>
            </c:strRef>
          </c:cat>
          <c:val>
            <c:numRef>
              <c:f>'Department Composition'!$B$4:$B$10</c:f>
              <c:numCache>
                <c:formatCode>General</c:formatCode>
                <c:ptCount val="6"/>
                <c:pt idx="0">
                  <c:v>18</c:v>
                </c:pt>
                <c:pt idx="1">
                  <c:v>18</c:v>
                </c:pt>
                <c:pt idx="2">
                  <c:v>18</c:v>
                </c:pt>
                <c:pt idx="3">
                  <c:v>18</c:v>
                </c:pt>
                <c:pt idx="4">
                  <c:v>10</c:v>
                </c:pt>
                <c:pt idx="5">
                  <c:v>18</c:v>
                </c:pt>
              </c:numCache>
            </c:numRef>
          </c:val>
          <c:extLst>
            <c:ext xmlns:c16="http://schemas.microsoft.com/office/drawing/2014/chart" uri="{C3380CC4-5D6E-409C-BE32-E72D297353CC}">
              <c16:uniqueId val="{0000000C-B830-4648-B3E4-1CE5EC36FA5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performace analysis project.xlsx]Age Group Salary Trend!PivotTable7</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Group Salary Trend</a:t>
            </a:r>
          </a:p>
        </c:rich>
      </c:tx>
      <c:layout>
        <c:manualLayout>
          <c:xMode val="edge"/>
          <c:yMode val="edge"/>
          <c:x val="0.13281003496096921"/>
          <c:y val="4.009047538363236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04930428539513"/>
          <c:y val="0.19978519910820486"/>
          <c:w val="0.75555375636339284"/>
          <c:h val="0.57218167750996718"/>
        </c:manualLayout>
      </c:layout>
      <c:barChart>
        <c:barDir val="col"/>
        <c:grouping val="stacked"/>
        <c:varyColors val="0"/>
        <c:ser>
          <c:idx val="0"/>
          <c:order val="0"/>
          <c:tx>
            <c:strRef>
              <c:f>'Age Group Salary Trend'!$B$3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 Salary Trend'!$A$4:$A$7</c:f>
              <c:strCache>
                <c:ptCount val="3"/>
                <c:pt idx="0">
                  <c:v>Junior</c:v>
                </c:pt>
                <c:pt idx="1">
                  <c:v>Middle Age</c:v>
                </c:pt>
                <c:pt idx="2">
                  <c:v>Senoir</c:v>
                </c:pt>
              </c:strCache>
            </c:strRef>
          </c:cat>
          <c:val>
            <c:numRef>
              <c:f>'Age Group Salary Trend'!$B$4:$B$7</c:f>
              <c:numCache>
                <c:formatCode>General</c:formatCode>
                <c:ptCount val="3"/>
                <c:pt idx="0">
                  <c:v>2142834</c:v>
                </c:pt>
                <c:pt idx="1">
                  <c:v>1816771</c:v>
                </c:pt>
                <c:pt idx="2">
                  <c:v>385055</c:v>
                </c:pt>
              </c:numCache>
            </c:numRef>
          </c:val>
          <c:extLst>
            <c:ext xmlns:c16="http://schemas.microsoft.com/office/drawing/2014/chart" uri="{C3380CC4-5D6E-409C-BE32-E72D297353CC}">
              <c16:uniqueId val="{00000000-E20D-4F3F-8482-0FD858DEB38D}"/>
            </c:ext>
          </c:extLst>
        </c:ser>
        <c:dLbls>
          <c:showLegendKey val="0"/>
          <c:showVal val="0"/>
          <c:showCatName val="0"/>
          <c:showSerName val="0"/>
          <c:showPercent val="0"/>
          <c:showBubbleSize val="0"/>
        </c:dLbls>
        <c:gapWidth val="150"/>
        <c:overlap val="100"/>
        <c:axId val="1793928000"/>
        <c:axId val="1793926336"/>
      </c:barChart>
      <c:catAx>
        <c:axId val="1793928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926336"/>
        <c:crosses val="autoZero"/>
        <c:auto val="1"/>
        <c:lblAlgn val="ctr"/>
        <c:lblOffset val="100"/>
        <c:noMultiLvlLbl val="0"/>
      </c:catAx>
      <c:valAx>
        <c:axId val="1793926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928000"/>
        <c:crosses val="autoZero"/>
        <c:crossBetween val="between"/>
        <c:dispUnits>
          <c:builtInUnit val="thousands"/>
          <c:dispUnitsLbl>
            <c:layout>
              <c:manualLayout>
                <c:xMode val="edge"/>
                <c:yMode val="edge"/>
                <c:x val="2.9094453972258918E-2"/>
                <c:y val="0.30630695039449396"/>
              </c:manualLayout>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performace analysis project.xlsx]Salary Distribution Insight!PivotTable8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Salary Distribution Insight</a:t>
            </a:r>
          </a:p>
        </c:rich>
      </c:tx>
      <c:layout>
        <c:manualLayout>
          <c:xMode val="edge"/>
          <c:yMode val="edge"/>
          <c:x val="0.22068044619422572"/>
          <c:y val="6.37941090696996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'Salary Distribution Insight'!$B$3</c:f>
              <c:strCache>
                <c:ptCount val="1"/>
                <c:pt idx="0">
                  <c:v>Total</c:v>
                </c:pt>
              </c:strCache>
            </c:strRef>
          </c:tx>
          <c:dPt>
            <c:idx val="0"/>
            <c:bubble3D val="0"/>
            <c:explosion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D3A-4BAF-9713-320953187E3E}"/>
              </c:ext>
            </c:extLst>
          </c:dPt>
          <c:dPt>
            <c:idx val="1"/>
            <c:bubble3D val="0"/>
            <c:explosion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D3A-4BAF-9713-320953187E3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D3A-4BAF-9713-320953187E3E}"/>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'Salary Distribution Insight'!$A$4:$A$7</c:f>
              <c:strCache>
                <c:ptCount val="3"/>
                <c:pt idx="0">
                  <c:v>High</c:v>
                </c:pt>
                <c:pt idx="1">
                  <c:v>Low</c:v>
                </c:pt>
                <c:pt idx="2">
                  <c:v>Medium</c:v>
                </c:pt>
              </c:strCache>
            </c:strRef>
          </c:cat>
          <c:val>
            <c:numRef>
              <c:f>'Salary Distribution Insight'!$B$4:$B$7</c:f>
              <c:numCache>
                <c:formatCode>General</c:formatCode>
                <c:ptCount val="3"/>
                <c:pt idx="0">
                  <c:v>21</c:v>
                </c:pt>
                <c:pt idx="1">
                  <c:v>50</c:v>
                </c:pt>
                <c:pt idx="2">
                  <c:v>29</c:v>
                </c:pt>
              </c:numCache>
            </c:numRef>
          </c:val>
          <c:extLst>
            <c:ext xmlns:c16="http://schemas.microsoft.com/office/drawing/2014/chart" uri="{C3380CC4-5D6E-409C-BE32-E72D297353CC}">
              <c16:uniqueId val="{00000006-6D3A-4BAF-9713-320953187E3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performace analysis project.xlsx] City-wise Salary Split!PivotTable4</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City-wise Salary Split</a:t>
            </a:r>
          </a:p>
        </c:rich>
      </c:tx>
      <c:layout>
        <c:manualLayout>
          <c:xMode val="edge"/>
          <c:yMode val="edge"/>
          <c:x val="0.23784711286089238"/>
          <c:y val="8.333333333333332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3760301837270342"/>
          <c:y val="0.24902850685331002"/>
          <c:w val="0.37702559055118112"/>
          <c:h val="0.6283759842519685"/>
        </c:manualLayout>
      </c:layout>
      <c:doughnutChart>
        <c:varyColors val="1"/>
        <c:ser>
          <c:idx val="0"/>
          <c:order val="0"/>
          <c:tx>
            <c:strRef>
              <c:f>' City-wise Salary Split'!$B$3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F93-4716-BF96-7615FD0CF9F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F93-4716-BF96-7615FD0CF9F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F93-4716-BF96-7615FD0CF9F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F93-4716-BF96-7615FD0CF9F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F93-4716-BF96-7615FD0CF9F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F93-4716-BF96-7615FD0CF9FF}"/>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City-wise Salary Split'!$A$4:$A$10</c:f>
              <c:strCache>
                <c:ptCount val="6"/>
                <c:pt idx="0">
                  <c:v>jaipur</c:v>
                </c:pt>
                <c:pt idx="1">
                  <c:v>KANPUR</c:v>
                </c:pt>
                <c:pt idx="2">
                  <c:v>LUCKNOW</c:v>
                </c:pt>
                <c:pt idx="3">
                  <c:v>New Delhi</c:v>
                </c:pt>
                <c:pt idx="4">
                  <c:v>NOIDA</c:v>
                </c:pt>
                <c:pt idx="5">
                  <c:v>patna</c:v>
                </c:pt>
              </c:strCache>
            </c:strRef>
          </c:cat>
          <c:val>
            <c:numRef>
              <c:f>' City-wise Salary Split'!$B$4:$B$10</c:f>
              <c:numCache>
                <c:formatCode>General</c:formatCode>
                <c:ptCount val="6"/>
                <c:pt idx="0">
                  <c:v>780889</c:v>
                </c:pt>
                <c:pt idx="1">
                  <c:v>702728</c:v>
                </c:pt>
                <c:pt idx="2">
                  <c:v>731500</c:v>
                </c:pt>
                <c:pt idx="3">
                  <c:v>730129</c:v>
                </c:pt>
                <c:pt idx="4">
                  <c:v>729022</c:v>
                </c:pt>
                <c:pt idx="5">
                  <c:v>670392</c:v>
                </c:pt>
              </c:numCache>
            </c:numRef>
          </c:val>
          <c:extLst>
            <c:ext xmlns:c16="http://schemas.microsoft.com/office/drawing/2014/chart" uri="{C3380CC4-5D6E-409C-BE32-E72D297353CC}">
              <c16:uniqueId val="{0000000C-7F93-4716-BF96-7615FD0CF9F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556260</xdr:colOff>
      <xdr:row>1</xdr:row>
      <xdr:rowOff>19050</xdr:rowOff>
    </xdr:from>
    <xdr:to>
      <xdr:col>7</xdr:col>
      <xdr:colOff>426720</xdr:colOff>
      <xdr:row>16</xdr:row>
      <xdr:rowOff>19050</xdr:rowOff>
    </xdr:to>
    <xdr:graphicFrame macro="">
      <xdr:nvGraphicFramePr>
        <xdr:cNvPr id="2" name="Chart 1">
          <a:extLst>
            <a:ext uri="{FF2B5EF4-FFF2-40B4-BE49-F238E27FC236}">
              <a16:creationId xmlns:a16="http://schemas.microsoft.com/office/drawing/2014/main" id="{97B50332-5850-4266-94A1-6A47EDFD0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179070</xdr:rowOff>
    </xdr:from>
    <xdr:to>
      <xdr:col>10</xdr:col>
      <xdr:colOff>304800</xdr:colOff>
      <xdr:row>16</xdr:row>
      <xdr:rowOff>179070</xdr:rowOff>
    </xdr:to>
    <xdr:graphicFrame macro="">
      <xdr:nvGraphicFramePr>
        <xdr:cNvPr id="2" name="Chart 1">
          <a:extLst>
            <a:ext uri="{FF2B5EF4-FFF2-40B4-BE49-F238E27FC236}">
              <a16:creationId xmlns:a16="http://schemas.microsoft.com/office/drawing/2014/main" id="{AFB288A1-9E45-4D50-AD11-E3FFA36E1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411480</xdr:colOff>
      <xdr:row>3</xdr:row>
      <xdr:rowOff>19050</xdr:rowOff>
    </xdr:from>
    <xdr:to>
      <xdr:col>12</xdr:col>
      <xdr:colOff>53340</xdr:colOff>
      <xdr:row>18</xdr:row>
      <xdr:rowOff>19050</xdr:rowOff>
    </xdr:to>
    <xdr:graphicFrame macro="">
      <xdr:nvGraphicFramePr>
        <xdr:cNvPr id="5" name="Chart 4">
          <a:extLst>
            <a:ext uri="{FF2B5EF4-FFF2-40B4-BE49-F238E27FC236}">
              <a16:creationId xmlns:a16="http://schemas.microsoft.com/office/drawing/2014/main" id="{58883BC3-7B50-4B10-9952-A323F6B39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190500</xdr:colOff>
      <xdr:row>6</xdr:row>
      <xdr:rowOff>41910</xdr:rowOff>
    </xdr:from>
    <xdr:to>
      <xdr:col>11</xdr:col>
      <xdr:colOff>495300</xdr:colOff>
      <xdr:row>21</xdr:row>
      <xdr:rowOff>41910</xdr:rowOff>
    </xdr:to>
    <xdr:graphicFrame macro="">
      <xdr:nvGraphicFramePr>
        <xdr:cNvPr id="2" name="Chart 1">
          <a:extLst>
            <a:ext uri="{FF2B5EF4-FFF2-40B4-BE49-F238E27FC236}">
              <a16:creationId xmlns:a16="http://schemas.microsoft.com/office/drawing/2014/main" id="{F68986C9-6A97-4E0B-8997-0BFCEA0AB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205740</xdr:colOff>
      <xdr:row>6</xdr:row>
      <xdr:rowOff>41910</xdr:rowOff>
    </xdr:from>
    <xdr:to>
      <xdr:col>11</xdr:col>
      <xdr:colOff>22860</xdr:colOff>
      <xdr:row>21</xdr:row>
      <xdr:rowOff>41910</xdr:rowOff>
    </xdr:to>
    <xdr:graphicFrame macro="">
      <xdr:nvGraphicFramePr>
        <xdr:cNvPr id="2" name="Chart 1">
          <a:extLst>
            <a:ext uri="{FF2B5EF4-FFF2-40B4-BE49-F238E27FC236}">
              <a16:creationId xmlns:a16="http://schemas.microsoft.com/office/drawing/2014/main" id="{23BBDA73-A051-4823-AE88-18B388B47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190500</xdr:colOff>
      <xdr:row>6</xdr:row>
      <xdr:rowOff>41910</xdr:rowOff>
    </xdr:from>
    <xdr:to>
      <xdr:col>9</xdr:col>
      <xdr:colOff>518160</xdr:colOff>
      <xdr:row>21</xdr:row>
      <xdr:rowOff>41910</xdr:rowOff>
    </xdr:to>
    <xdr:graphicFrame macro="">
      <xdr:nvGraphicFramePr>
        <xdr:cNvPr id="2" name="Chart 1">
          <a:extLst>
            <a:ext uri="{FF2B5EF4-FFF2-40B4-BE49-F238E27FC236}">
              <a16:creationId xmlns:a16="http://schemas.microsoft.com/office/drawing/2014/main" id="{2EFE3A52-F00B-46A5-B5E9-1BD9C65FE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289560</xdr:colOff>
      <xdr:row>4</xdr:row>
      <xdr:rowOff>118110</xdr:rowOff>
    </xdr:from>
    <xdr:to>
      <xdr:col>12</xdr:col>
      <xdr:colOff>594360</xdr:colOff>
      <xdr:row>19</xdr:row>
      <xdr:rowOff>118110</xdr:rowOff>
    </xdr:to>
    <xdr:graphicFrame macro="">
      <xdr:nvGraphicFramePr>
        <xdr:cNvPr id="2" name="Chart 1">
          <a:extLst>
            <a:ext uri="{FF2B5EF4-FFF2-40B4-BE49-F238E27FC236}">
              <a16:creationId xmlns:a16="http://schemas.microsoft.com/office/drawing/2014/main" id="{B6C54C07-540D-4F22-A62F-853866EB7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38100</xdr:colOff>
      <xdr:row>18</xdr:row>
      <xdr:rowOff>175261</xdr:rowOff>
    </xdr:from>
    <xdr:to>
      <xdr:col>2</xdr:col>
      <xdr:colOff>533400</xdr:colOff>
      <xdr:row>25</xdr:row>
      <xdr:rowOff>76201</xdr:rowOff>
    </xdr:to>
    <mc:AlternateContent xmlns:mc="http://schemas.openxmlformats.org/markup-compatibility/2006" xmlns:a14="http://schemas.microsoft.com/office/drawing/2010/main">
      <mc:Choice Requires="a14">
        <xdr:graphicFrame macro="">
          <xdr:nvGraphicFramePr>
            <xdr:cNvPr id="11" name="Age Status">
              <a:extLst>
                <a:ext uri="{FF2B5EF4-FFF2-40B4-BE49-F238E27FC236}">
                  <a16:creationId xmlns:a16="http://schemas.microsoft.com/office/drawing/2014/main" id="{AA894845-EDDA-42D8-B3EA-63541B20098F}"/>
                </a:ext>
              </a:extLst>
            </xdr:cNvPr>
            <xdr:cNvGraphicFramePr/>
          </xdr:nvGraphicFramePr>
          <xdr:xfrm>
            <a:off x="0" y="0"/>
            <a:ext cx="0" cy="0"/>
          </xdr:xfrm>
          <a:graphic>
            <a:graphicData uri="http://schemas.microsoft.com/office/drawing/2010/slicer">
              <sle:slicer xmlns:sle="http://schemas.microsoft.com/office/drawing/2010/slicer" name="Age Status"/>
            </a:graphicData>
          </a:graphic>
        </xdr:graphicFrame>
      </mc:Choice>
      <mc:Fallback xmlns="">
        <xdr:sp macro="" textlink="">
          <xdr:nvSpPr>
            <xdr:cNvPr id="0" name=""/>
            <xdr:cNvSpPr>
              <a:spLocks noTextEdit="1"/>
            </xdr:cNvSpPr>
          </xdr:nvSpPr>
          <xdr:spPr>
            <a:xfrm>
              <a:off x="38100" y="3467101"/>
              <a:ext cx="17145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8</xdr:row>
      <xdr:rowOff>30481</xdr:rowOff>
    </xdr:from>
    <xdr:to>
      <xdr:col>2</xdr:col>
      <xdr:colOff>541020</xdr:colOff>
      <xdr:row>18</xdr:row>
      <xdr:rowOff>167641</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470D8B19-67E0-46FF-9058-2770E29D9B9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2860" y="1493521"/>
              <a:ext cx="173736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xdr:row>
      <xdr:rowOff>7621</xdr:rowOff>
    </xdr:from>
    <xdr:to>
      <xdr:col>2</xdr:col>
      <xdr:colOff>541020</xdr:colOff>
      <xdr:row>8</xdr:row>
      <xdr:rowOff>38100</xdr:rowOff>
    </xdr:to>
    <mc:AlternateContent xmlns:mc="http://schemas.openxmlformats.org/markup-compatibility/2006" xmlns:a14="http://schemas.microsoft.com/office/drawing/2010/main">
      <mc:Choice Requires="a14">
        <xdr:graphicFrame macro="">
          <xdr:nvGraphicFramePr>
            <xdr:cNvPr id="13" name="Salary Status">
              <a:extLst>
                <a:ext uri="{FF2B5EF4-FFF2-40B4-BE49-F238E27FC236}">
                  <a16:creationId xmlns:a16="http://schemas.microsoft.com/office/drawing/2014/main" id="{A04523B3-A906-431C-8586-DCFD24782178}"/>
                </a:ext>
              </a:extLst>
            </xdr:cNvPr>
            <xdr:cNvGraphicFramePr/>
          </xdr:nvGraphicFramePr>
          <xdr:xfrm>
            <a:off x="0" y="0"/>
            <a:ext cx="0" cy="0"/>
          </xdr:xfrm>
          <a:graphic>
            <a:graphicData uri="http://schemas.microsoft.com/office/drawing/2010/slicer">
              <sle:slicer xmlns:sle="http://schemas.microsoft.com/office/drawing/2010/slicer" name="Salary Status"/>
            </a:graphicData>
          </a:graphic>
        </xdr:graphicFrame>
      </mc:Choice>
      <mc:Fallback xmlns="">
        <xdr:sp macro="" textlink="">
          <xdr:nvSpPr>
            <xdr:cNvPr id="0" name=""/>
            <xdr:cNvSpPr>
              <a:spLocks noTextEdit="1"/>
            </xdr:cNvSpPr>
          </xdr:nvSpPr>
          <xdr:spPr>
            <a:xfrm>
              <a:off x="30480" y="373381"/>
              <a:ext cx="1729740" cy="1127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25</xdr:row>
      <xdr:rowOff>91440</xdr:rowOff>
    </xdr:from>
    <xdr:to>
      <xdr:col>2</xdr:col>
      <xdr:colOff>586740</xdr:colOff>
      <xdr:row>38</xdr:row>
      <xdr:rowOff>180975</xdr:rowOff>
    </xdr:to>
    <mc:AlternateContent xmlns:mc="http://schemas.openxmlformats.org/markup-compatibility/2006" xmlns:a14="http://schemas.microsoft.com/office/drawing/2010/main">
      <mc:Choice Requires="a14">
        <xdr:graphicFrame macro="">
          <xdr:nvGraphicFramePr>
            <xdr:cNvPr id="14" name="Emp_Name">
              <a:extLst>
                <a:ext uri="{FF2B5EF4-FFF2-40B4-BE49-F238E27FC236}">
                  <a16:creationId xmlns:a16="http://schemas.microsoft.com/office/drawing/2014/main" id="{B58797B0-EF03-4A74-A8E4-B6E8C00032F0}"/>
                </a:ext>
              </a:extLst>
            </xdr:cNvPr>
            <xdr:cNvGraphicFramePr/>
          </xdr:nvGraphicFramePr>
          <xdr:xfrm>
            <a:off x="0" y="0"/>
            <a:ext cx="0" cy="0"/>
          </xdr:xfrm>
          <a:graphic>
            <a:graphicData uri="http://schemas.microsoft.com/office/drawing/2010/slicer">
              <sle:slicer xmlns:sle="http://schemas.microsoft.com/office/drawing/2010/slicer" name="Emp_Name"/>
            </a:graphicData>
          </a:graphic>
        </xdr:graphicFrame>
      </mc:Choice>
      <mc:Fallback xmlns="">
        <xdr:sp macro="" textlink="">
          <xdr:nvSpPr>
            <xdr:cNvPr id="0" name=""/>
            <xdr:cNvSpPr>
              <a:spLocks noTextEdit="1"/>
            </xdr:cNvSpPr>
          </xdr:nvSpPr>
          <xdr:spPr>
            <a:xfrm>
              <a:off x="53340" y="4663440"/>
              <a:ext cx="17526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556260</xdr:colOff>
      <xdr:row>1</xdr:row>
      <xdr:rowOff>160020</xdr:rowOff>
    </xdr:from>
    <xdr:to>
      <xdr:col>8</xdr:col>
      <xdr:colOff>548640</xdr:colOff>
      <xdr:row>15</xdr:row>
      <xdr:rowOff>22860</xdr:rowOff>
    </xdr:to>
    <xdr:graphicFrame macro="">
      <xdr:nvGraphicFramePr>
        <xdr:cNvPr id="16" name="Chart 15">
          <a:extLst>
            <a:ext uri="{FF2B5EF4-FFF2-40B4-BE49-F238E27FC236}">
              <a16:creationId xmlns:a16="http://schemas.microsoft.com/office/drawing/2014/main" id="{9058201C-D10D-4E0E-94D5-8C19FC40B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548484</xdr:colOff>
      <xdr:row>15</xdr:row>
      <xdr:rowOff>22860</xdr:rowOff>
    </xdr:from>
    <xdr:to>
      <xdr:col>11</xdr:col>
      <xdr:colOff>266544</xdr:colOff>
      <xdr:row>30</xdr:row>
      <xdr:rowOff>45720</xdr:rowOff>
    </xdr:to>
    <xdr:graphicFrame macro="">
      <xdr:nvGraphicFramePr>
        <xdr:cNvPr id="21" name="Chart 20">
          <a:extLst>
            <a:ext uri="{FF2B5EF4-FFF2-40B4-BE49-F238E27FC236}">
              <a16:creationId xmlns:a16="http://schemas.microsoft.com/office/drawing/2014/main" id="{95447C68-5EA8-4357-8A8B-1F22E2BBE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266700</xdr:colOff>
      <xdr:row>15</xdr:row>
      <xdr:rowOff>45720</xdr:rowOff>
    </xdr:from>
    <xdr:to>
      <xdr:col>19</xdr:col>
      <xdr:colOff>160020</xdr:colOff>
      <xdr:row>30</xdr:row>
      <xdr:rowOff>45720</xdr:rowOff>
    </xdr:to>
    <xdr:graphicFrame macro="">
      <xdr:nvGraphicFramePr>
        <xdr:cNvPr id="22" name="Chart 21">
          <a:extLst>
            <a:ext uri="{FF2B5EF4-FFF2-40B4-BE49-F238E27FC236}">
              <a16:creationId xmlns:a16="http://schemas.microsoft.com/office/drawing/2014/main" id="{67398E53-406F-4D68-85A1-6B309CA81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505407</xdr:colOff>
      <xdr:row>1</xdr:row>
      <xdr:rowOff>163287</xdr:rowOff>
    </xdr:from>
    <xdr:to>
      <xdr:col>14</xdr:col>
      <xdr:colOff>217713</xdr:colOff>
      <xdr:row>15</xdr:row>
      <xdr:rowOff>46653</xdr:rowOff>
    </xdr:to>
    <xdr:graphicFrame macro="">
      <xdr:nvGraphicFramePr>
        <xdr:cNvPr id="15" name="Chart 14">
          <a:extLst>
            <a:ext uri="{FF2B5EF4-FFF2-40B4-BE49-F238E27FC236}">
              <a16:creationId xmlns:a16="http://schemas.microsoft.com/office/drawing/2014/main" id="{A8A6EB60-909A-4937-86B2-AE405D61F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209939</xdr:colOff>
      <xdr:row>1</xdr:row>
      <xdr:rowOff>171062</xdr:rowOff>
    </xdr:from>
    <xdr:to>
      <xdr:col>19</xdr:col>
      <xdr:colOff>194388</xdr:colOff>
      <xdr:row>15</xdr:row>
      <xdr:rowOff>62204</xdr:rowOff>
    </xdr:to>
    <xdr:graphicFrame macro="">
      <xdr:nvGraphicFramePr>
        <xdr:cNvPr id="17" name="Chart 16">
          <a:extLst>
            <a:ext uri="{FF2B5EF4-FFF2-40B4-BE49-F238E27FC236}">
              <a16:creationId xmlns:a16="http://schemas.microsoft.com/office/drawing/2014/main" id="{F8544B01-14C7-4035-A256-FAF676591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163287</xdr:colOff>
      <xdr:row>1</xdr:row>
      <xdr:rowOff>163286</xdr:rowOff>
    </xdr:from>
    <xdr:to>
      <xdr:col>25</xdr:col>
      <xdr:colOff>590939</xdr:colOff>
      <xdr:row>16</xdr:row>
      <xdr:rowOff>77755</xdr:rowOff>
    </xdr:to>
    <xdr:graphicFrame macro="">
      <xdr:nvGraphicFramePr>
        <xdr:cNvPr id="18" name="Chart 17">
          <a:extLst>
            <a:ext uri="{FF2B5EF4-FFF2-40B4-BE49-F238E27FC236}">
              <a16:creationId xmlns:a16="http://schemas.microsoft.com/office/drawing/2014/main" id="{2A274CE7-64AB-47AB-B942-F013EAE8F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116632</xdr:colOff>
      <xdr:row>16</xdr:row>
      <xdr:rowOff>62204</xdr:rowOff>
    </xdr:from>
    <xdr:to>
      <xdr:col>25</xdr:col>
      <xdr:colOff>590939</xdr:colOff>
      <xdr:row>30</xdr:row>
      <xdr:rowOff>54429</xdr:rowOff>
    </xdr:to>
    <xdr:graphicFrame macro="">
      <xdr:nvGraphicFramePr>
        <xdr:cNvPr id="25" name="Chart 24">
          <a:extLst>
            <a:ext uri="{FF2B5EF4-FFF2-40B4-BE49-F238E27FC236}">
              <a16:creationId xmlns:a16="http://schemas.microsoft.com/office/drawing/2014/main" id="{D326FAAF-B396-42D6-BE2C-67F25803E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neet" refreshedDate="45964.617640046294" createdVersion="7" refreshedVersion="7" minRefreshableVersion="3" recordCount="100" xr:uid="{00000000-000A-0000-FFFF-FFFF16000000}">
  <cacheSource type="worksheet">
    <worksheetSource ref="A1:J101" sheet="Formating and cleaning data"/>
  </cacheSource>
  <cacheFields count="10">
    <cacheField name="SI No" numFmtId="0">
      <sharedItems containsSemiMixedTypes="0" containsString="0" containsNumber="1" containsInteger="1" minValue="1001" maxValue="1100"/>
    </cacheField>
    <cacheField name="Emp_Name" numFmtId="0">
      <sharedItems count="38">
        <s v=" aman  singh"/>
        <s v=" raghav kumar sharma"/>
        <s v=" mohit raj jain"/>
        <s v="priyanshu kumar sharma"/>
        <s v="raushan kumar roy"/>
        <s v=" mandeep singh"/>
        <s v="suraj  kumar roy"/>
        <s v="raman raj "/>
        <s v="  uzzair biag"/>
        <s v="shivani singh"/>
        <s v=" harmeet kaur"/>
        <s v="ram kumar singh"/>
        <s v=" Anil kumar sharma"/>
        <s v="muskan verma"/>
        <s v=" Ritika mallik"/>
        <s v="rinku rawat"/>
        <s v="Randheer kumar rana"/>
        <s v="vivek kumar singh"/>
        <s v=" anand Mohan"/>
        <s v="krishna sharma"/>
        <s v="  mamta sharma"/>
        <s v="priya sharma"/>
        <s v="ronit harsh bardhan"/>
        <s v="mayank kumar sharma"/>
        <s v="sankisha singh"/>
        <s v="manu singh"/>
        <s v="  bhanu patel singh"/>
        <s v=" Kumod kumar sharma"/>
        <s v="Anmol Asha"/>
        <s v="shashank kumar"/>
        <s v=" tanishka gupta"/>
        <s v="prince kumar sharma"/>
        <s v="rajat tomar"/>
        <s v="rajhul kumar jain"/>
        <s v="khushi khatri"/>
        <s v="rishu kumari"/>
        <s v="riya jain"/>
        <s v="jitendra kumar singh"/>
      </sharedItems>
    </cacheField>
    <cacheField name="Age" numFmtId="0">
      <sharedItems containsSemiMixedTypes="0" containsString="0" containsNumber="1" containsInteger="1" minValue="18" maxValue="64" count="43">
        <n v="40"/>
        <n v="45"/>
        <n v="63"/>
        <n v="22"/>
        <n v="21"/>
        <n v="59"/>
        <n v="54"/>
        <n v="62"/>
        <n v="39"/>
        <n v="24"/>
        <n v="30"/>
        <n v="50"/>
        <n v="26"/>
        <n v="38"/>
        <n v="25"/>
        <n v="47"/>
        <n v="32"/>
        <n v="44"/>
        <n v="58"/>
        <n v="28"/>
        <n v="27"/>
        <n v="18"/>
        <n v="19"/>
        <n v="43"/>
        <n v="31"/>
        <n v="23"/>
        <n v="64"/>
        <n v="36"/>
        <n v="56"/>
        <n v="42"/>
        <n v="33"/>
        <n v="41"/>
        <n v="48"/>
        <n v="52"/>
        <n v="34"/>
        <n v="53"/>
        <n v="51"/>
        <n v="46"/>
        <n v="37"/>
        <n v="35"/>
        <n v="60"/>
        <n v="29"/>
        <n v="49"/>
      </sharedItems>
    </cacheField>
    <cacheField name="Age Status" numFmtId="0">
      <sharedItems count="3">
        <s v="Middle Age"/>
        <s v="Senoir"/>
        <s v="Junior"/>
      </sharedItems>
    </cacheField>
    <cacheField name="DOJ" numFmtId="0">
      <sharedItems containsDate="1" containsMixedTypes="1" minDate="2019-03-09T00:00:00" maxDate="2023-08-13T00:00:00"/>
    </cacheField>
    <cacheField name="Department" numFmtId="0">
      <sharedItems count="6">
        <s v="Data Scientist"/>
        <s v="Data Analyst"/>
        <s v="Data Engineer"/>
        <s v="MIS Analyst"/>
        <s v="Research Analyst"/>
        <s v="Other"/>
      </sharedItems>
    </cacheField>
    <cacheField name="Salary" numFmtId="0">
      <sharedItems containsSemiMixedTypes="0" containsString="0" containsNumber="1" containsInteger="1" minValue="21351" maxValue="69848" count="100">
        <n v="35520"/>
        <n v="62386"/>
        <n v="28353"/>
        <n v="44179"/>
        <n v="67162"/>
        <n v="31319"/>
        <n v="69474"/>
        <n v="63344"/>
        <n v="55743"/>
        <n v="34620"/>
        <n v="54306"/>
        <n v="24857"/>
        <n v="36011"/>
        <n v="45500"/>
        <n v="24549"/>
        <n v="67169"/>
        <n v="21351"/>
        <n v="21799"/>
        <n v="42165"/>
        <n v="24533"/>
        <n v="35804"/>
        <n v="33233"/>
        <n v="34928"/>
        <n v="32832"/>
        <n v="45840"/>
        <n v="67772"/>
        <n v="31891"/>
        <n v="33567"/>
        <n v="39588"/>
        <n v="32281"/>
        <n v="39112"/>
        <n v="36136"/>
        <n v="45357"/>
        <n v="60172"/>
        <n v="27381"/>
        <n v="45648"/>
        <n v="57287"/>
        <n v="32805"/>
        <n v="60459"/>
        <n v="37505"/>
        <n v="23368"/>
        <n v="31658"/>
        <n v="42657"/>
        <n v="62829"/>
        <n v="63669"/>
        <n v="45281"/>
        <n v="69848"/>
        <n v="49894"/>
        <n v="40839"/>
        <n v="25790"/>
        <n v="25878"/>
        <n v="51164"/>
        <n v="23950"/>
        <n v="57731"/>
        <n v="37553"/>
        <n v="23189"/>
        <n v="50079"/>
        <n v="24135"/>
        <n v="23934"/>
        <n v="68711"/>
        <n v="30067"/>
        <n v="36604"/>
        <n v="29717"/>
        <n v="39949"/>
        <n v="27482"/>
        <n v="67806"/>
        <n v="32878"/>
        <n v="41830"/>
        <n v="46700"/>
        <n v="60732"/>
        <n v="64920"/>
        <n v="63713"/>
        <n v="56331"/>
        <n v="28467"/>
        <n v="31885"/>
        <n v="40493"/>
        <n v="69010"/>
        <n v="26965"/>
        <n v="41420"/>
        <n v="69136"/>
        <n v="32601"/>
        <n v="38380"/>
        <n v="49149"/>
        <n v="58502"/>
        <n v="31779"/>
        <n v="46016"/>
        <n v="26537"/>
        <n v="22811"/>
        <n v="38370"/>
        <n v="53983"/>
        <n v="54137"/>
        <n v="58899"/>
        <n v="52705"/>
        <n v="62372"/>
        <n v="67981"/>
        <n v="63801"/>
        <n v="37059"/>
        <n v="55653"/>
        <n v="28465"/>
        <n v="33260"/>
      </sharedItems>
    </cacheField>
    <cacheField name="Salary Status" numFmtId="0">
      <sharedItems count="3">
        <s v="Low"/>
        <s v="High"/>
        <s v="Medium"/>
      </sharedItems>
    </cacheField>
    <cacheField name="city" numFmtId="0">
      <sharedItems/>
    </cacheField>
    <cacheField name="Contact Number" numFmtId="0">
      <sharedItems containsSemiMixedTypes="0" containsString="0" containsNumber="1" containsInteger="1" minValue="8008580293" maxValue="9952183106"/>
    </cacheField>
  </cacheFields>
  <extLst>
    <ext xmlns:x14="http://schemas.microsoft.com/office/spreadsheetml/2009/9/main" uri="{725AE2AE-9491-48be-B2B4-4EB974FC3084}">
      <x14:pivotCacheDefinition pivotCacheId="12091692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neet" refreshedDate="45964.645000578705" createdVersion="7" refreshedVersion="7" minRefreshableVersion="3" recordCount="100" xr:uid="{00000000-000A-0000-FFFF-FFFF19000000}">
  <cacheSource type="worksheet">
    <worksheetSource ref="A1:L101" sheet="Formating and cleaning data"/>
  </cacheSource>
  <cacheFields count="12">
    <cacheField name="SI No" numFmtId="0">
      <sharedItems containsSemiMixedTypes="0" containsString="0" containsNumber="1" containsInteger="1" minValue="1001" maxValue="1100"/>
    </cacheField>
    <cacheField name="Emp_Name" numFmtId="0">
      <sharedItems count="38">
        <s v=" aman  singh"/>
        <s v=" raghav kumar sharma"/>
        <s v=" mohit raj jain"/>
        <s v="priyanshu kumar sharma"/>
        <s v="raushan kumar roy"/>
        <s v=" mandeep singh"/>
        <s v="suraj  kumar roy"/>
        <s v="raman raj "/>
        <s v="  uzzair biag"/>
        <s v="shivani singh"/>
        <s v=" harmeet kaur"/>
        <s v="ram kumar singh"/>
        <s v=" Anil kumar sharma"/>
        <s v="muskan verma"/>
        <s v=" Ritika mallik"/>
        <s v="rinku rawat"/>
        <s v="Randheer kumar rana"/>
        <s v="vivek kumar singh"/>
        <s v=" anand Mohan"/>
        <s v="krishna sharma"/>
        <s v="  mamta sharma"/>
        <s v="priya sharma"/>
        <s v="ronit harsh bardhan"/>
        <s v="mayank kumar sharma"/>
        <s v="sankisha singh"/>
        <s v="manu singh"/>
        <s v="  bhanu patel singh"/>
        <s v=" Kumod kumar sharma"/>
        <s v="Anmol Asha"/>
        <s v="shashank kumar"/>
        <s v=" tanishka gupta"/>
        <s v="prince kumar sharma"/>
        <s v="rajat tomar"/>
        <s v="rajhul kumar jain"/>
        <s v="khushi khatri"/>
        <s v="rishu kumari"/>
        <s v="riya jain"/>
        <s v="jitendra kumar singh"/>
      </sharedItems>
    </cacheField>
    <cacheField name="Age" numFmtId="0">
      <sharedItems containsSemiMixedTypes="0" containsString="0" containsNumber="1" containsInteger="1" minValue="18" maxValue="64" count="43">
        <n v="40"/>
        <n v="45"/>
        <n v="63"/>
        <n v="22"/>
        <n v="21"/>
        <n v="59"/>
        <n v="54"/>
        <n v="62"/>
        <n v="39"/>
        <n v="24"/>
        <n v="30"/>
        <n v="50"/>
        <n v="26"/>
        <n v="38"/>
        <n v="25"/>
        <n v="47"/>
        <n v="32"/>
        <n v="44"/>
        <n v="58"/>
        <n v="28"/>
        <n v="27"/>
        <n v="18"/>
        <n v="19"/>
        <n v="43"/>
        <n v="31"/>
        <n v="23"/>
        <n v="64"/>
        <n v="36"/>
        <n v="56"/>
        <n v="42"/>
        <n v="33"/>
        <n v="41"/>
        <n v="48"/>
        <n v="52"/>
        <n v="34"/>
        <n v="53"/>
        <n v="51"/>
        <n v="46"/>
        <n v="37"/>
        <n v="35"/>
        <n v="60"/>
        <n v="29"/>
        <n v="49"/>
      </sharedItems>
    </cacheField>
    <cacheField name="Age Status" numFmtId="0">
      <sharedItems count="3">
        <s v="Middle Age"/>
        <s v="Senoir"/>
        <s v="Junior"/>
      </sharedItems>
    </cacheField>
    <cacheField name="DOJ" numFmtId="0">
      <sharedItems containsDate="1" containsMixedTypes="1" minDate="2019-03-09T00:00:00" maxDate="2023-08-13T00:00:00"/>
    </cacheField>
    <cacheField name="Department" numFmtId="0">
      <sharedItems count="6">
        <s v="Data Scientist"/>
        <s v="Data Analyst"/>
        <s v="Data Engineer"/>
        <s v="MIS Analyst"/>
        <s v="Research Analyst"/>
        <s v="Other"/>
      </sharedItems>
    </cacheField>
    <cacheField name="Salary" numFmtId="0">
      <sharedItems containsSemiMixedTypes="0" containsString="0" containsNumber="1" containsInteger="1" minValue="21351" maxValue="69848"/>
    </cacheField>
    <cacheField name="Salary Status" numFmtId="0">
      <sharedItems count="3">
        <s v="Low"/>
        <s v="High"/>
        <s v="Medium"/>
      </sharedItems>
    </cacheField>
    <cacheField name="city" numFmtId="0">
      <sharedItems count="6">
        <s v="New Delhi"/>
        <s v="jaipur"/>
        <s v="patna"/>
        <s v="NOIDA"/>
        <s v="KANPUR"/>
        <s v="LUCKNOW"/>
      </sharedItems>
    </cacheField>
    <cacheField name="Contact Number" numFmtId="0">
      <sharedItems containsSemiMixedTypes="0" containsString="0" containsNumber="1" containsInteger="1" minValue="8008580293" maxValue="9952183106"/>
    </cacheField>
    <cacheField name="Average salary" numFmtId="0">
      <sharedItems containsString="0" containsBlank="1" containsNumber="1" minValue="43446.6" maxValue="43446.6"/>
    </cacheField>
    <cacheField name="Average Age" numFmtId="0">
      <sharedItems containsString="0" containsBlank="1" containsNumber="1" minValue="39.9" maxValue="3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
  <r>
    <n v="1001"/>
    <x v="0"/>
    <x v="0"/>
    <x v="0"/>
    <d v="2023-02-12T00:00:00"/>
    <x v="0"/>
    <x v="0"/>
    <x v="0"/>
    <s v="New Delhi"/>
    <n v="9681995458"/>
  </r>
  <r>
    <n v="1002"/>
    <x v="1"/>
    <x v="1"/>
    <x v="0"/>
    <d v="2022-02-07T00:00:00"/>
    <x v="1"/>
    <x v="1"/>
    <x v="1"/>
    <s v="jaipur"/>
    <n v="9116845884"/>
  </r>
  <r>
    <n v="1003"/>
    <x v="2"/>
    <x v="2"/>
    <x v="1"/>
    <d v="2021-05-09T00:00:00"/>
    <x v="2"/>
    <x v="2"/>
    <x v="0"/>
    <s v="patna"/>
    <n v="9842537593"/>
  </r>
  <r>
    <n v="1004"/>
    <x v="3"/>
    <x v="3"/>
    <x v="2"/>
    <s v="11/13/2023"/>
    <x v="3"/>
    <x v="3"/>
    <x v="2"/>
    <s v="NOIDA"/>
    <n v="8248924059"/>
  </r>
  <r>
    <n v="1005"/>
    <x v="4"/>
    <x v="4"/>
    <x v="0"/>
    <s v="4/16/2021"/>
    <x v="4"/>
    <x v="4"/>
    <x v="1"/>
    <s v="KANPUR"/>
    <n v="9765919786"/>
  </r>
  <r>
    <n v="1006"/>
    <x v="5"/>
    <x v="5"/>
    <x v="0"/>
    <s v="9/29/2022"/>
    <x v="5"/>
    <x v="5"/>
    <x v="0"/>
    <s v="LUCKNOW"/>
    <n v="8383101486"/>
  </r>
  <r>
    <n v="1007"/>
    <x v="6"/>
    <x v="6"/>
    <x v="0"/>
    <s v="5/15/2019"/>
    <x v="1"/>
    <x v="6"/>
    <x v="1"/>
    <s v="New Delhi"/>
    <n v="8185019875"/>
  </r>
  <r>
    <n v="1008"/>
    <x v="7"/>
    <x v="7"/>
    <x v="1"/>
    <s v="10/27/2019"/>
    <x v="2"/>
    <x v="7"/>
    <x v="1"/>
    <s v="jaipur"/>
    <n v="8936658199"/>
  </r>
  <r>
    <n v="1009"/>
    <x v="8"/>
    <x v="8"/>
    <x v="2"/>
    <d v="2021-06-10T00:00:00"/>
    <x v="5"/>
    <x v="8"/>
    <x v="2"/>
    <s v="patna"/>
    <n v="9103924124"/>
  </r>
  <r>
    <n v="1010"/>
    <x v="9"/>
    <x v="3"/>
    <x v="2"/>
    <s v="1/24/2022"/>
    <x v="4"/>
    <x v="9"/>
    <x v="0"/>
    <s v="NOIDA"/>
    <n v="8285595886"/>
  </r>
  <r>
    <n v="1011"/>
    <x v="10"/>
    <x v="9"/>
    <x v="2"/>
    <d v="2021-02-05T00:00:00"/>
    <x v="0"/>
    <x v="10"/>
    <x v="2"/>
    <s v="KANPUR"/>
    <n v="8133729502"/>
  </r>
  <r>
    <n v="1012"/>
    <x v="11"/>
    <x v="10"/>
    <x v="0"/>
    <s v="12/20/2022"/>
    <x v="1"/>
    <x v="11"/>
    <x v="0"/>
    <s v="LUCKNOW"/>
    <n v="8125006343"/>
  </r>
  <r>
    <n v="1013"/>
    <x v="12"/>
    <x v="11"/>
    <x v="2"/>
    <d v="2022-01-09T00:00:00"/>
    <x v="2"/>
    <x v="12"/>
    <x v="0"/>
    <s v="New Delhi"/>
    <n v="8646462988"/>
  </r>
  <r>
    <n v="1014"/>
    <x v="13"/>
    <x v="12"/>
    <x v="2"/>
    <d v="2020-08-11T00:00:00"/>
    <x v="3"/>
    <x v="13"/>
    <x v="2"/>
    <s v="jaipur"/>
    <n v="8227233565"/>
  </r>
  <r>
    <n v="1015"/>
    <x v="14"/>
    <x v="8"/>
    <x v="0"/>
    <s v="7/19/2023"/>
    <x v="5"/>
    <x v="14"/>
    <x v="0"/>
    <s v="patna"/>
    <n v="8821608961"/>
  </r>
  <r>
    <n v="1016"/>
    <x v="15"/>
    <x v="1"/>
    <x v="2"/>
    <s v="3/22/2020"/>
    <x v="0"/>
    <x v="15"/>
    <x v="1"/>
    <s v="NOIDA"/>
    <n v="8009065215"/>
  </r>
  <r>
    <n v="1017"/>
    <x v="16"/>
    <x v="3"/>
    <x v="2"/>
    <s v="12/26/2023"/>
    <x v="1"/>
    <x v="16"/>
    <x v="0"/>
    <s v="KANPUR"/>
    <n v="8016298128"/>
  </r>
  <r>
    <n v="1018"/>
    <x v="17"/>
    <x v="13"/>
    <x v="2"/>
    <s v="9/25/2020"/>
    <x v="2"/>
    <x v="17"/>
    <x v="0"/>
    <s v="LUCKNOW"/>
    <n v="9444306078"/>
  </r>
  <r>
    <n v="1019"/>
    <x v="18"/>
    <x v="14"/>
    <x v="2"/>
    <s v="6/27/2021"/>
    <x v="3"/>
    <x v="18"/>
    <x v="2"/>
    <s v="New Delhi"/>
    <n v="8788867810"/>
  </r>
  <r>
    <n v="1020"/>
    <x v="19"/>
    <x v="4"/>
    <x v="2"/>
    <s v="11/30/2023"/>
    <x v="4"/>
    <x v="19"/>
    <x v="0"/>
    <s v="jaipur"/>
    <n v="9890058612"/>
  </r>
  <r>
    <n v="1021"/>
    <x v="20"/>
    <x v="10"/>
    <x v="0"/>
    <s v="5/15/2023"/>
    <x v="0"/>
    <x v="20"/>
    <x v="0"/>
    <s v="patna"/>
    <n v="9884258935"/>
  </r>
  <r>
    <n v="1022"/>
    <x v="21"/>
    <x v="15"/>
    <x v="2"/>
    <d v="2022-12-02T00:00:00"/>
    <x v="1"/>
    <x v="21"/>
    <x v="0"/>
    <s v="NOIDA"/>
    <n v="9314911702"/>
  </r>
  <r>
    <n v="1023"/>
    <x v="22"/>
    <x v="10"/>
    <x v="2"/>
    <s v="1/23/2020"/>
    <x v="5"/>
    <x v="22"/>
    <x v="0"/>
    <s v="KANPUR"/>
    <n v="8100189727"/>
  </r>
  <r>
    <n v="1024"/>
    <x v="23"/>
    <x v="16"/>
    <x v="0"/>
    <d v="2023-06-10T00:00:00"/>
    <x v="3"/>
    <x v="23"/>
    <x v="0"/>
    <s v="LUCKNOW"/>
    <n v="8008580293"/>
  </r>
  <r>
    <n v="1025"/>
    <x v="24"/>
    <x v="17"/>
    <x v="0"/>
    <s v="12/21/2019"/>
    <x v="4"/>
    <x v="24"/>
    <x v="2"/>
    <s v="New Delhi"/>
    <n v="9847967631"/>
  </r>
  <r>
    <n v="1026"/>
    <x v="25"/>
    <x v="2"/>
    <x v="1"/>
    <d v="2023-06-10T00:00:00"/>
    <x v="0"/>
    <x v="25"/>
    <x v="1"/>
    <s v="jaipur"/>
    <n v="9647925363"/>
  </r>
  <r>
    <n v="1027"/>
    <x v="26"/>
    <x v="6"/>
    <x v="0"/>
    <s v="8/29/2019"/>
    <x v="1"/>
    <x v="26"/>
    <x v="0"/>
    <s v="patna"/>
    <n v="9749243756"/>
  </r>
  <r>
    <n v="1028"/>
    <x v="27"/>
    <x v="18"/>
    <x v="2"/>
    <d v="2021-03-03T00:00:00"/>
    <x v="2"/>
    <x v="27"/>
    <x v="0"/>
    <s v="NOIDA"/>
    <n v="9005929955"/>
  </r>
  <r>
    <n v="1029"/>
    <x v="28"/>
    <x v="4"/>
    <x v="2"/>
    <d v="2021-10-02T00:00:00"/>
    <x v="5"/>
    <x v="28"/>
    <x v="0"/>
    <s v="KANPUR"/>
    <n v="9009246830"/>
  </r>
  <r>
    <n v="1030"/>
    <x v="29"/>
    <x v="19"/>
    <x v="2"/>
    <d v="2020-02-06T00:00:00"/>
    <x v="4"/>
    <x v="29"/>
    <x v="0"/>
    <s v="LUCKNOW"/>
    <n v="9659363386"/>
  </r>
  <r>
    <n v="1031"/>
    <x v="30"/>
    <x v="13"/>
    <x v="0"/>
    <d v="2020-09-10T00:00:00"/>
    <x v="0"/>
    <x v="30"/>
    <x v="0"/>
    <s v="New Delhi"/>
    <n v="8122257040"/>
  </r>
  <r>
    <n v="1032"/>
    <x v="31"/>
    <x v="15"/>
    <x v="2"/>
    <s v="8/24/2019"/>
    <x v="1"/>
    <x v="31"/>
    <x v="0"/>
    <s v="jaipur"/>
    <n v="8662114865"/>
  </r>
  <r>
    <n v="1033"/>
    <x v="32"/>
    <x v="12"/>
    <x v="2"/>
    <d v="2021-08-07T00:00:00"/>
    <x v="2"/>
    <x v="32"/>
    <x v="2"/>
    <s v="patna"/>
    <n v="8559761704"/>
  </r>
  <r>
    <n v="1034"/>
    <x v="33"/>
    <x v="13"/>
    <x v="2"/>
    <d v="2020-04-11T00:00:00"/>
    <x v="3"/>
    <x v="33"/>
    <x v="1"/>
    <s v="NOIDA"/>
    <n v="9935798637"/>
  </r>
  <r>
    <n v="1035"/>
    <x v="34"/>
    <x v="20"/>
    <x v="2"/>
    <d v="2020-09-07T00:00:00"/>
    <x v="4"/>
    <x v="34"/>
    <x v="0"/>
    <s v="KANPUR"/>
    <n v="9854054426"/>
  </r>
  <r>
    <n v="1036"/>
    <x v="35"/>
    <x v="21"/>
    <x v="2"/>
    <d v="2019-03-09T00:00:00"/>
    <x v="0"/>
    <x v="35"/>
    <x v="2"/>
    <s v="LUCKNOW"/>
    <n v="8552451243"/>
  </r>
  <r>
    <n v="1037"/>
    <x v="36"/>
    <x v="9"/>
    <x v="0"/>
    <d v="2021-01-12T00:00:00"/>
    <x v="5"/>
    <x v="36"/>
    <x v="2"/>
    <s v="New Delhi"/>
    <n v="9383008015"/>
  </r>
  <r>
    <n v="1038"/>
    <x v="37"/>
    <x v="2"/>
    <x v="1"/>
    <s v="8/13/2020"/>
    <x v="2"/>
    <x v="37"/>
    <x v="0"/>
    <s v="jaipur"/>
    <n v="8285797304"/>
  </r>
  <r>
    <n v="1039"/>
    <x v="0"/>
    <x v="22"/>
    <x v="2"/>
    <s v="12/28/2022"/>
    <x v="3"/>
    <x v="38"/>
    <x v="1"/>
    <s v="patna"/>
    <n v="8210671102"/>
  </r>
  <r>
    <n v="1040"/>
    <x v="1"/>
    <x v="8"/>
    <x v="0"/>
    <d v="2022-08-02T00:00:00"/>
    <x v="4"/>
    <x v="39"/>
    <x v="0"/>
    <s v="NOIDA"/>
    <n v="9754030766"/>
  </r>
  <r>
    <n v="1041"/>
    <x v="2"/>
    <x v="7"/>
    <x v="1"/>
    <d v="2020-10-04T00:00:00"/>
    <x v="0"/>
    <x v="40"/>
    <x v="0"/>
    <s v="KANPUR"/>
    <n v="8898155945"/>
  </r>
  <r>
    <n v="1042"/>
    <x v="3"/>
    <x v="23"/>
    <x v="2"/>
    <s v="4/29/2021"/>
    <x v="1"/>
    <x v="41"/>
    <x v="0"/>
    <s v="LUCKNOW"/>
    <n v="8460344549"/>
  </r>
  <r>
    <n v="1043"/>
    <x v="4"/>
    <x v="24"/>
    <x v="0"/>
    <s v="2/20/2023"/>
    <x v="5"/>
    <x v="42"/>
    <x v="2"/>
    <s v="New Delhi"/>
    <n v="8554179536"/>
  </r>
  <r>
    <n v="1044"/>
    <x v="5"/>
    <x v="5"/>
    <x v="2"/>
    <d v="2020-07-04T00:00:00"/>
    <x v="3"/>
    <x v="43"/>
    <x v="1"/>
    <s v="jaipur"/>
    <n v="8064782176"/>
  </r>
  <r>
    <n v="1045"/>
    <x v="6"/>
    <x v="25"/>
    <x v="0"/>
    <d v="2019-10-12T00:00:00"/>
    <x v="5"/>
    <x v="44"/>
    <x v="1"/>
    <s v="patna"/>
    <n v="8684649540"/>
  </r>
  <r>
    <n v="1046"/>
    <x v="7"/>
    <x v="26"/>
    <x v="1"/>
    <s v="9/19/2022"/>
    <x v="0"/>
    <x v="45"/>
    <x v="2"/>
    <s v="NOIDA"/>
    <n v="8890617225"/>
  </r>
  <r>
    <n v="1047"/>
    <x v="8"/>
    <x v="27"/>
    <x v="2"/>
    <s v="8/21/2022"/>
    <x v="1"/>
    <x v="46"/>
    <x v="1"/>
    <s v="KANPUR"/>
    <n v="8497518826"/>
  </r>
  <r>
    <n v="1048"/>
    <x v="9"/>
    <x v="3"/>
    <x v="2"/>
    <d v="2021-09-03T00:00:00"/>
    <x v="2"/>
    <x v="47"/>
    <x v="2"/>
    <s v="LUCKNOW"/>
    <n v="8472841238"/>
  </r>
  <r>
    <n v="1049"/>
    <x v="10"/>
    <x v="13"/>
    <x v="0"/>
    <s v="6/17/2019"/>
    <x v="3"/>
    <x v="48"/>
    <x v="2"/>
    <s v="New Delhi"/>
    <n v="8713180440"/>
  </r>
  <r>
    <n v="1050"/>
    <x v="11"/>
    <x v="28"/>
    <x v="0"/>
    <d v="2021-08-12T00:00:00"/>
    <x v="4"/>
    <x v="49"/>
    <x v="0"/>
    <s v="jaipur"/>
    <n v="9550842050"/>
  </r>
  <r>
    <n v="1051"/>
    <x v="12"/>
    <x v="15"/>
    <x v="0"/>
    <s v="8/24/2020"/>
    <x v="5"/>
    <x v="50"/>
    <x v="0"/>
    <s v="patna"/>
    <n v="8652496713"/>
  </r>
  <r>
    <n v="1052"/>
    <x v="13"/>
    <x v="29"/>
    <x v="2"/>
    <s v="3/28/2021"/>
    <x v="1"/>
    <x v="51"/>
    <x v="2"/>
    <s v="NOIDA"/>
    <n v="9670495683"/>
  </r>
  <r>
    <n v="1053"/>
    <x v="14"/>
    <x v="30"/>
    <x v="0"/>
    <s v="9/17/2020"/>
    <x v="2"/>
    <x v="52"/>
    <x v="0"/>
    <s v="KANPUR"/>
    <n v="9402027533"/>
  </r>
  <r>
    <n v="1054"/>
    <x v="15"/>
    <x v="6"/>
    <x v="0"/>
    <s v="8/30/2023"/>
    <x v="3"/>
    <x v="53"/>
    <x v="2"/>
    <s v="LUCKNOW"/>
    <n v="8090024500"/>
  </r>
  <r>
    <n v="1055"/>
    <x v="16"/>
    <x v="11"/>
    <x v="0"/>
    <s v="3/17/2023"/>
    <x v="4"/>
    <x v="54"/>
    <x v="0"/>
    <s v="New Delhi"/>
    <n v="8465341266"/>
  </r>
  <r>
    <n v="1056"/>
    <x v="17"/>
    <x v="31"/>
    <x v="2"/>
    <s v="5/20/2019"/>
    <x v="0"/>
    <x v="55"/>
    <x v="0"/>
    <s v="jaipur"/>
    <n v="9658584008"/>
  </r>
  <r>
    <n v="1057"/>
    <x v="18"/>
    <x v="20"/>
    <x v="0"/>
    <d v="2019-11-07T00:00:00"/>
    <x v="1"/>
    <x v="56"/>
    <x v="2"/>
    <s v="patna"/>
    <n v="8701199135"/>
  </r>
  <r>
    <n v="1058"/>
    <x v="19"/>
    <x v="32"/>
    <x v="2"/>
    <s v="4/24/2023"/>
    <x v="2"/>
    <x v="57"/>
    <x v="0"/>
    <s v="NOIDA"/>
    <n v="9349839075"/>
  </r>
  <r>
    <n v="1059"/>
    <x v="20"/>
    <x v="10"/>
    <x v="2"/>
    <s v="4/19/2019"/>
    <x v="3"/>
    <x v="58"/>
    <x v="0"/>
    <s v="KANPUR"/>
    <n v="9138113583"/>
  </r>
  <r>
    <n v="1060"/>
    <x v="21"/>
    <x v="19"/>
    <x v="2"/>
    <s v="5/30/2020"/>
    <x v="4"/>
    <x v="59"/>
    <x v="1"/>
    <s v="LUCKNOW"/>
    <n v="9886763358"/>
  </r>
  <r>
    <n v="1061"/>
    <x v="22"/>
    <x v="10"/>
    <x v="0"/>
    <s v="3/14/2022"/>
    <x v="0"/>
    <x v="60"/>
    <x v="0"/>
    <s v="New Delhi"/>
    <n v="8116085677"/>
  </r>
  <r>
    <n v="1062"/>
    <x v="23"/>
    <x v="23"/>
    <x v="2"/>
    <d v="2022-12-01T00:00:00"/>
    <x v="5"/>
    <x v="61"/>
    <x v="0"/>
    <s v="jaipur"/>
    <n v="8076675684"/>
  </r>
  <r>
    <n v="1063"/>
    <x v="24"/>
    <x v="8"/>
    <x v="0"/>
    <s v="1/25/2019"/>
    <x v="2"/>
    <x v="62"/>
    <x v="0"/>
    <s v="patna"/>
    <n v="8988189673"/>
  </r>
  <r>
    <n v="1064"/>
    <x v="25"/>
    <x v="5"/>
    <x v="0"/>
    <d v="2023-08-12T00:00:00"/>
    <x v="3"/>
    <x v="63"/>
    <x v="0"/>
    <s v="NOIDA"/>
    <n v="9292710949"/>
  </r>
  <r>
    <n v="1065"/>
    <x v="26"/>
    <x v="33"/>
    <x v="0"/>
    <s v="6/28/2019"/>
    <x v="4"/>
    <x v="64"/>
    <x v="0"/>
    <s v="KANPUR"/>
    <n v="8588490084"/>
  </r>
  <r>
    <n v="1066"/>
    <x v="27"/>
    <x v="28"/>
    <x v="0"/>
    <s v="4/14/2020"/>
    <x v="0"/>
    <x v="65"/>
    <x v="1"/>
    <s v="LUCKNOW"/>
    <n v="8756644530"/>
  </r>
  <r>
    <n v="1067"/>
    <x v="28"/>
    <x v="33"/>
    <x v="2"/>
    <s v="8/17/2020"/>
    <x v="1"/>
    <x v="66"/>
    <x v="0"/>
    <s v="New Delhi"/>
    <n v="9122189072"/>
  </r>
  <r>
    <n v="1068"/>
    <x v="29"/>
    <x v="34"/>
    <x v="0"/>
    <d v="2019-07-01T00:00:00"/>
    <x v="2"/>
    <x v="67"/>
    <x v="2"/>
    <s v="jaipur"/>
    <n v="9941461000"/>
  </r>
  <r>
    <n v="1069"/>
    <x v="30"/>
    <x v="35"/>
    <x v="0"/>
    <d v="2019-11-03T00:00:00"/>
    <x v="3"/>
    <x v="68"/>
    <x v="2"/>
    <s v="patna"/>
    <n v="9404249566"/>
  </r>
  <r>
    <n v="1070"/>
    <x v="31"/>
    <x v="35"/>
    <x v="2"/>
    <s v="7/24/2021"/>
    <x v="4"/>
    <x v="69"/>
    <x v="1"/>
    <s v="NOIDA"/>
    <n v="8382092023"/>
  </r>
  <r>
    <n v="1071"/>
    <x v="32"/>
    <x v="27"/>
    <x v="2"/>
    <s v="10/18/2023"/>
    <x v="0"/>
    <x v="70"/>
    <x v="1"/>
    <s v="KANPUR"/>
    <n v="9297762344"/>
  </r>
  <r>
    <n v="1072"/>
    <x v="33"/>
    <x v="8"/>
    <x v="2"/>
    <s v="4/27/2022"/>
    <x v="1"/>
    <x v="71"/>
    <x v="1"/>
    <s v="LUCKNOW"/>
    <n v="8691624689"/>
  </r>
  <r>
    <n v="1073"/>
    <x v="34"/>
    <x v="9"/>
    <x v="0"/>
    <s v="4/16/2021"/>
    <x v="2"/>
    <x v="72"/>
    <x v="2"/>
    <s v="New Delhi"/>
    <n v="9589325707"/>
  </r>
  <r>
    <n v="1074"/>
    <x v="35"/>
    <x v="15"/>
    <x v="0"/>
    <s v="4/30/2019"/>
    <x v="3"/>
    <x v="73"/>
    <x v="0"/>
    <s v="jaipur"/>
    <n v="8344974091"/>
  </r>
  <r>
    <n v="1075"/>
    <x v="36"/>
    <x v="36"/>
    <x v="0"/>
    <s v="1/21/2021"/>
    <x v="4"/>
    <x v="74"/>
    <x v="0"/>
    <s v="patna"/>
    <n v="9621747304"/>
  </r>
  <r>
    <n v="1076"/>
    <x v="37"/>
    <x v="33"/>
    <x v="2"/>
    <s v="4/21/2023"/>
    <x v="0"/>
    <x v="75"/>
    <x v="2"/>
    <s v="NOIDA"/>
    <n v="8858304505"/>
  </r>
  <r>
    <n v="1077"/>
    <x v="0"/>
    <x v="25"/>
    <x v="2"/>
    <d v="2019-09-09T00:00:00"/>
    <x v="1"/>
    <x v="76"/>
    <x v="1"/>
    <s v="KANPUR"/>
    <n v="8281884627"/>
  </r>
  <r>
    <n v="1078"/>
    <x v="1"/>
    <x v="10"/>
    <x v="0"/>
    <d v="2022-08-03T00:00:00"/>
    <x v="2"/>
    <x v="77"/>
    <x v="0"/>
    <s v="LUCKNOW"/>
    <n v="9904455974"/>
  </r>
  <r>
    <n v="1079"/>
    <x v="2"/>
    <x v="37"/>
    <x v="0"/>
    <s v="8/13/2022"/>
    <x v="3"/>
    <x v="78"/>
    <x v="2"/>
    <s v="New Delhi"/>
    <n v="8047089665"/>
  </r>
  <r>
    <n v="1080"/>
    <x v="3"/>
    <x v="1"/>
    <x v="0"/>
    <s v="9/21/2019"/>
    <x v="4"/>
    <x v="79"/>
    <x v="1"/>
    <s v="jaipur"/>
    <n v="9952183106"/>
  </r>
  <r>
    <n v="1081"/>
    <x v="4"/>
    <x v="11"/>
    <x v="2"/>
    <s v="1/24/2023"/>
    <x v="0"/>
    <x v="80"/>
    <x v="0"/>
    <s v="patna"/>
    <n v="9417086595"/>
  </r>
  <r>
    <n v="1082"/>
    <x v="5"/>
    <x v="22"/>
    <x v="0"/>
    <d v="2023-06-11T00:00:00"/>
    <x v="1"/>
    <x v="81"/>
    <x v="0"/>
    <s v="NOIDA"/>
    <n v="9401508050"/>
  </r>
  <r>
    <n v="1083"/>
    <x v="6"/>
    <x v="28"/>
    <x v="0"/>
    <s v="11/25/2022"/>
    <x v="2"/>
    <x v="82"/>
    <x v="2"/>
    <s v="KANPUR"/>
    <n v="9475427443"/>
  </r>
  <r>
    <n v="1084"/>
    <x v="7"/>
    <x v="31"/>
    <x v="0"/>
    <s v="8/30/2022"/>
    <x v="3"/>
    <x v="83"/>
    <x v="2"/>
    <s v="LUCKNOW"/>
    <n v="9015401235"/>
  </r>
  <r>
    <n v="1085"/>
    <x v="8"/>
    <x v="26"/>
    <x v="1"/>
    <d v="2023-02-10T00:00:00"/>
    <x v="4"/>
    <x v="84"/>
    <x v="0"/>
    <s v="New Delhi"/>
    <n v="9535791105"/>
  </r>
  <r>
    <n v="1086"/>
    <x v="9"/>
    <x v="38"/>
    <x v="2"/>
    <d v="2019-11-06T00:00:00"/>
    <x v="0"/>
    <x v="85"/>
    <x v="2"/>
    <s v="jaipur"/>
    <n v="9206727762"/>
  </r>
  <r>
    <n v="1087"/>
    <x v="10"/>
    <x v="39"/>
    <x v="2"/>
    <d v="2022-10-06T00:00:00"/>
    <x v="1"/>
    <x v="86"/>
    <x v="0"/>
    <s v="patna"/>
    <n v="9693700782"/>
  </r>
  <r>
    <n v="1088"/>
    <x v="11"/>
    <x v="22"/>
    <x v="0"/>
    <d v="2023-07-03T00:00:00"/>
    <x v="2"/>
    <x v="87"/>
    <x v="0"/>
    <s v="NOIDA"/>
    <n v="9170643766"/>
  </r>
  <r>
    <n v="1089"/>
    <x v="12"/>
    <x v="26"/>
    <x v="1"/>
    <s v="6/26/2021"/>
    <x v="3"/>
    <x v="88"/>
    <x v="0"/>
    <s v="KANPUR"/>
    <n v="9224717289"/>
  </r>
  <r>
    <n v="1090"/>
    <x v="13"/>
    <x v="40"/>
    <x v="1"/>
    <s v="1/25/2021"/>
    <x v="4"/>
    <x v="89"/>
    <x v="2"/>
    <s v="LUCKNOW"/>
    <n v="8032869699"/>
  </r>
  <r>
    <n v="1091"/>
    <x v="14"/>
    <x v="10"/>
    <x v="2"/>
    <s v="1/18/2020"/>
    <x v="0"/>
    <x v="90"/>
    <x v="2"/>
    <s v="New Delhi"/>
    <n v="9409194912"/>
  </r>
  <r>
    <n v="1092"/>
    <x v="15"/>
    <x v="16"/>
    <x v="2"/>
    <s v="12/21/2020"/>
    <x v="1"/>
    <x v="91"/>
    <x v="2"/>
    <s v="jaipur"/>
    <n v="9190465034"/>
  </r>
  <r>
    <n v="1093"/>
    <x v="16"/>
    <x v="10"/>
    <x v="2"/>
    <s v="3/30/2020"/>
    <x v="2"/>
    <x v="92"/>
    <x v="2"/>
    <s v="patna"/>
    <n v="8965689033"/>
  </r>
  <r>
    <n v="1094"/>
    <x v="17"/>
    <x v="16"/>
    <x v="0"/>
    <d v="2020-01-04T00:00:00"/>
    <x v="3"/>
    <x v="93"/>
    <x v="1"/>
    <s v="NOIDA"/>
    <n v="9454605082"/>
  </r>
  <r>
    <n v="1095"/>
    <x v="18"/>
    <x v="17"/>
    <x v="2"/>
    <d v="2022-09-02T00:00:00"/>
    <x v="4"/>
    <x v="94"/>
    <x v="1"/>
    <s v="KANPUR"/>
    <n v="9190101044"/>
  </r>
  <r>
    <n v="1096"/>
    <x v="19"/>
    <x v="41"/>
    <x v="2"/>
    <s v="1/21/2023"/>
    <x v="0"/>
    <x v="95"/>
    <x v="1"/>
    <s v="LUCKNOW"/>
    <n v="8599236851"/>
  </r>
  <r>
    <n v="1097"/>
    <x v="20"/>
    <x v="10"/>
    <x v="2"/>
    <s v="6/27/2023"/>
    <x v="1"/>
    <x v="96"/>
    <x v="0"/>
    <s v="New Delhi"/>
    <n v="9327002554"/>
  </r>
  <r>
    <n v="1098"/>
    <x v="21"/>
    <x v="16"/>
    <x v="0"/>
    <s v="8/30/2021"/>
    <x v="2"/>
    <x v="97"/>
    <x v="2"/>
    <s v="jaipur"/>
    <n v="8342008192"/>
  </r>
  <r>
    <n v="1099"/>
    <x v="22"/>
    <x v="42"/>
    <x v="0"/>
    <s v="8/26/2021"/>
    <x v="3"/>
    <x v="98"/>
    <x v="0"/>
    <s v="patna"/>
    <n v="8842494426"/>
  </r>
  <r>
    <n v="1100"/>
    <x v="23"/>
    <x v="37"/>
    <x v="2"/>
    <s v="3/26/2022"/>
    <x v="4"/>
    <x v="99"/>
    <x v="0"/>
    <s v="NOIDA"/>
    <n v="9558051689"/>
  </r>
</pivotCacheRecords>
</file>

<file path=xl/pivotCache/pivotCacheRecords2.xml><?xml version="1.0" encoding="utf-8"?>
<pivotCacheRecords xmlns="http://schemas.openxmlformats.org/spreadsheetml/2006/main" xmlns:r="http://schemas.openxmlformats.org/officeDocument/2006/relationships" count="100">
  <r>
    <n v="1001"/>
    <x v="0"/>
    <x v="0"/>
    <x v="0"/>
    <d v="2023-02-12T00:00:00"/>
    <x v="0"/>
    <n v="35520"/>
    <x v="0"/>
    <x v="0"/>
    <n v="9681995458"/>
    <n v="43446.6"/>
    <n v="39.9"/>
  </r>
  <r>
    <n v="1002"/>
    <x v="1"/>
    <x v="1"/>
    <x v="0"/>
    <d v="2022-02-07T00:00:00"/>
    <x v="1"/>
    <n v="62386"/>
    <x v="1"/>
    <x v="1"/>
    <n v="9116845884"/>
    <m/>
    <m/>
  </r>
  <r>
    <n v="1003"/>
    <x v="2"/>
    <x v="2"/>
    <x v="1"/>
    <d v="2021-05-09T00:00:00"/>
    <x v="2"/>
    <n v="28353"/>
    <x v="0"/>
    <x v="2"/>
    <n v="9842537593"/>
    <m/>
    <m/>
  </r>
  <r>
    <n v="1004"/>
    <x v="3"/>
    <x v="3"/>
    <x v="2"/>
    <s v="11/13/2023"/>
    <x v="3"/>
    <n v="44179"/>
    <x v="2"/>
    <x v="3"/>
    <n v="8248924059"/>
    <m/>
    <m/>
  </r>
  <r>
    <n v="1005"/>
    <x v="4"/>
    <x v="4"/>
    <x v="0"/>
    <s v="4/16/2021"/>
    <x v="4"/>
    <n v="67162"/>
    <x v="1"/>
    <x v="4"/>
    <n v="9765919786"/>
    <m/>
    <m/>
  </r>
  <r>
    <n v="1006"/>
    <x v="5"/>
    <x v="5"/>
    <x v="0"/>
    <s v="9/29/2022"/>
    <x v="5"/>
    <n v="31319"/>
    <x v="0"/>
    <x v="5"/>
    <n v="8383101486"/>
    <m/>
    <m/>
  </r>
  <r>
    <n v="1007"/>
    <x v="6"/>
    <x v="6"/>
    <x v="0"/>
    <s v="5/15/2019"/>
    <x v="1"/>
    <n v="69474"/>
    <x v="1"/>
    <x v="0"/>
    <n v="8185019875"/>
    <m/>
    <m/>
  </r>
  <r>
    <n v="1008"/>
    <x v="7"/>
    <x v="7"/>
    <x v="1"/>
    <s v="10/27/2019"/>
    <x v="2"/>
    <n v="63344"/>
    <x v="1"/>
    <x v="1"/>
    <n v="8936658199"/>
    <m/>
    <m/>
  </r>
  <r>
    <n v="1009"/>
    <x v="8"/>
    <x v="8"/>
    <x v="2"/>
    <d v="2021-06-10T00:00:00"/>
    <x v="5"/>
    <n v="55743"/>
    <x v="2"/>
    <x v="2"/>
    <n v="9103924124"/>
    <m/>
    <m/>
  </r>
  <r>
    <n v="1010"/>
    <x v="9"/>
    <x v="3"/>
    <x v="2"/>
    <s v="1/24/2022"/>
    <x v="4"/>
    <n v="34620"/>
    <x v="0"/>
    <x v="3"/>
    <n v="8285595886"/>
    <m/>
    <m/>
  </r>
  <r>
    <n v="1011"/>
    <x v="10"/>
    <x v="9"/>
    <x v="2"/>
    <d v="2021-02-05T00:00:00"/>
    <x v="0"/>
    <n v="54306"/>
    <x v="2"/>
    <x v="4"/>
    <n v="8133729502"/>
    <m/>
    <m/>
  </r>
  <r>
    <n v="1012"/>
    <x v="11"/>
    <x v="10"/>
    <x v="0"/>
    <s v="12/20/2022"/>
    <x v="1"/>
    <n v="24857"/>
    <x v="0"/>
    <x v="5"/>
    <n v="8125006343"/>
    <m/>
    <m/>
  </r>
  <r>
    <n v="1013"/>
    <x v="12"/>
    <x v="11"/>
    <x v="2"/>
    <d v="2022-01-09T00:00:00"/>
    <x v="2"/>
    <n v="36011"/>
    <x v="0"/>
    <x v="0"/>
    <n v="8646462988"/>
    <m/>
    <m/>
  </r>
  <r>
    <n v="1014"/>
    <x v="13"/>
    <x v="12"/>
    <x v="2"/>
    <d v="2020-08-11T00:00:00"/>
    <x v="3"/>
    <n v="45500"/>
    <x v="2"/>
    <x v="1"/>
    <n v="8227233565"/>
    <m/>
    <m/>
  </r>
  <r>
    <n v="1015"/>
    <x v="14"/>
    <x v="8"/>
    <x v="0"/>
    <s v="7/19/2023"/>
    <x v="5"/>
    <n v="24549"/>
    <x v="0"/>
    <x v="2"/>
    <n v="8821608961"/>
    <m/>
    <m/>
  </r>
  <r>
    <n v="1016"/>
    <x v="15"/>
    <x v="1"/>
    <x v="2"/>
    <s v="3/22/2020"/>
    <x v="0"/>
    <n v="67169"/>
    <x v="1"/>
    <x v="3"/>
    <n v="8009065215"/>
    <m/>
    <m/>
  </r>
  <r>
    <n v="1017"/>
    <x v="16"/>
    <x v="3"/>
    <x v="2"/>
    <s v="12/26/2023"/>
    <x v="1"/>
    <n v="21351"/>
    <x v="0"/>
    <x v="4"/>
    <n v="8016298128"/>
    <m/>
    <m/>
  </r>
  <r>
    <n v="1018"/>
    <x v="17"/>
    <x v="13"/>
    <x v="2"/>
    <s v="9/25/2020"/>
    <x v="2"/>
    <n v="21799"/>
    <x v="0"/>
    <x v="5"/>
    <n v="9444306078"/>
    <m/>
    <m/>
  </r>
  <r>
    <n v="1019"/>
    <x v="18"/>
    <x v="14"/>
    <x v="2"/>
    <s v="6/27/2021"/>
    <x v="3"/>
    <n v="42165"/>
    <x v="2"/>
    <x v="0"/>
    <n v="8788867810"/>
    <m/>
    <m/>
  </r>
  <r>
    <n v="1020"/>
    <x v="19"/>
    <x v="4"/>
    <x v="2"/>
    <s v="11/30/2023"/>
    <x v="4"/>
    <n v="24533"/>
    <x v="0"/>
    <x v="1"/>
    <n v="9890058612"/>
    <m/>
    <m/>
  </r>
  <r>
    <n v="1021"/>
    <x v="20"/>
    <x v="10"/>
    <x v="0"/>
    <s v="5/15/2023"/>
    <x v="0"/>
    <n v="35804"/>
    <x v="0"/>
    <x v="2"/>
    <n v="9884258935"/>
    <m/>
    <m/>
  </r>
  <r>
    <n v="1022"/>
    <x v="21"/>
    <x v="15"/>
    <x v="2"/>
    <d v="2022-12-02T00:00:00"/>
    <x v="1"/>
    <n v="33233"/>
    <x v="0"/>
    <x v="3"/>
    <n v="9314911702"/>
    <m/>
    <m/>
  </r>
  <r>
    <n v="1023"/>
    <x v="22"/>
    <x v="10"/>
    <x v="2"/>
    <s v="1/23/2020"/>
    <x v="5"/>
    <n v="34928"/>
    <x v="0"/>
    <x v="4"/>
    <n v="8100189727"/>
    <m/>
    <m/>
  </r>
  <r>
    <n v="1024"/>
    <x v="23"/>
    <x v="16"/>
    <x v="0"/>
    <d v="2023-06-10T00:00:00"/>
    <x v="3"/>
    <n v="32832"/>
    <x v="0"/>
    <x v="5"/>
    <n v="8008580293"/>
    <m/>
    <m/>
  </r>
  <r>
    <n v="1025"/>
    <x v="24"/>
    <x v="17"/>
    <x v="0"/>
    <s v="12/21/2019"/>
    <x v="4"/>
    <n v="45840"/>
    <x v="2"/>
    <x v="0"/>
    <n v="9847967631"/>
    <m/>
    <m/>
  </r>
  <r>
    <n v="1026"/>
    <x v="25"/>
    <x v="2"/>
    <x v="1"/>
    <d v="2023-06-10T00:00:00"/>
    <x v="0"/>
    <n v="67772"/>
    <x v="1"/>
    <x v="1"/>
    <n v="9647925363"/>
    <m/>
    <m/>
  </r>
  <r>
    <n v="1027"/>
    <x v="26"/>
    <x v="6"/>
    <x v="0"/>
    <s v="8/29/2019"/>
    <x v="1"/>
    <n v="31891"/>
    <x v="0"/>
    <x v="2"/>
    <n v="9749243756"/>
    <m/>
    <m/>
  </r>
  <r>
    <n v="1028"/>
    <x v="27"/>
    <x v="18"/>
    <x v="2"/>
    <d v="2021-03-03T00:00:00"/>
    <x v="2"/>
    <n v="33567"/>
    <x v="0"/>
    <x v="3"/>
    <n v="9005929955"/>
    <m/>
    <m/>
  </r>
  <r>
    <n v="1029"/>
    <x v="28"/>
    <x v="4"/>
    <x v="2"/>
    <d v="2021-10-02T00:00:00"/>
    <x v="5"/>
    <n v="39588"/>
    <x v="0"/>
    <x v="4"/>
    <n v="9009246830"/>
    <m/>
    <m/>
  </r>
  <r>
    <n v="1030"/>
    <x v="29"/>
    <x v="19"/>
    <x v="2"/>
    <d v="2020-02-06T00:00:00"/>
    <x v="4"/>
    <n v="32281"/>
    <x v="0"/>
    <x v="5"/>
    <n v="9659363386"/>
    <m/>
    <m/>
  </r>
  <r>
    <n v="1031"/>
    <x v="30"/>
    <x v="13"/>
    <x v="0"/>
    <d v="2020-09-10T00:00:00"/>
    <x v="0"/>
    <n v="39112"/>
    <x v="0"/>
    <x v="0"/>
    <n v="8122257040"/>
    <m/>
    <m/>
  </r>
  <r>
    <n v="1032"/>
    <x v="31"/>
    <x v="15"/>
    <x v="2"/>
    <s v="8/24/2019"/>
    <x v="1"/>
    <n v="36136"/>
    <x v="0"/>
    <x v="1"/>
    <n v="8662114865"/>
    <m/>
    <m/>
  </r>
  <r>
    <n v="1033"/>
    <x v="32"/>
    <x v="12"/>
    <x v="2"/>
    <d v="2021-08-07T00:00:00"/>
    <x v="2"/>
    <n v="45357"/>
    <x v="2"/>
    <x v="2"/>
    <n v="8559761704"/>
    <m/>
    <m/>
  </r>
  <r>
    <n v="1034"/>
    <x v="33"/>
    <x v="13"/>
    <x v="2"/>
    <d v="2020-04-11T00:00:00"/>
    <x v="3"/>
    <n v="60172"/>
    <x v="1"/>
    <x v="3"/>
    <n v="9935798637"/>
    <m/>
    <m/>
  </r>
  <r>
    <n v="1035"/>
    <x v="34"/>
    <x v="20"/>
    <x v="2"/>
    <d v="2020-09-07T00:00:00"/>
    <x v="4"/>
    <n v="27381"/>
    <x v="0"/>
    <x v="4"/>
    <n v="9854054426"/>
    <m/>
    <m/>
  </r>
  <r>
    <n v="1036"/>
    <x v="35"/>
    <x v="21"/>
    <x v="2"/>
    <d v="2019-03-09T00:00:00"/>
    <x v="0"/>
    <n v="45648"/>
    <x v="2"/>
    <x v="5"/>
    <n v="8552451243"/>
    <m/>
    <m/>
  </r>
  <r>
    <n v="1037"/>
    <x v="36"/>
    <x v="9"/>
    <x v="0"/>
    <d v="2021-01-12T00:00:00"/>
    <x v="5"/>
    <n v="57287"/>
    <x v="2"/>
    <x v="0"/>
    <n v="9383008015"/>
    <m/>
    <m/>
  </r>
  <r>
    <n v="1038"/>
    <x v="37"/>
    <x v="2"/>
    <x v="1"/>
    <s v="8/13/2020"/>
    <x v="2"/>
    <n v="32805"/>
    <x v="0"/>
    <x v="1"/>
    <n v="8285797304"/>
    <m/>
    <m/>
  </r>
  <r>
    <n v="1039"/>
    <x v="0"/>
    <x v="22"/>
    <x v="2"/>
    <s v="12/28/2022"/>
    <x v="3"/>
    <n v="60459"/>
    <x v="1"/>
    <x v="2"/>
    <n v="8210671102"/>
    <m/>
    <m/>
  </r>
  <r>
    <n v="1040"/>
    <x v="1"/>
    <x v="8"/>
    <x v="0"/>
    <d v="2022-08-02T00:00:00"/>
    <x v="4"/>
    <n v="37505"/>
    <x v="0"/>
    <x v="3"/>
    <n v="9754030766"/>
    <m/>
    <m/>
  </r>
  <r>
    <n v="1041"/>
    <x v="2"/>
    <x v="7"/>
    <x v="1"/>
    <d v="2020-10-04T00:00:00"/>
    <x v="0"/>
    <n v="23368"/>
    <x v="0"/>
    <x v="4"/>
    <n v="8898155945"/>
    <m/>
    <m/>
  </r>
  <r>
    <n v="1042"/>
    <x v="3"/>
    <x v="23"/>
    <x v="2"/>
    <s v="4/29/2021"/>
    <x v="1"/>
    <n v="31658"/>
    <x v="0"/>
    <x v="5"/>
    <n v="8460344549"/>
    <m/>
    <m/>
  </r>
  <r>
    <n v="1043"/>
    <x v="4"/>
    <x v="24"/>
    <x v="0"/>
    <s v="2/20/2023"/>
    <x v="5"/>
    <n v="42657"/>
    <x v="2"/>
    <x v="0"/>
    <n v="8554179536"/>
    <m/>
    <m/>
  </r>
  <r>
    <n v="1044"/>
    <x v="5"/>
    <x v="5"/>
    <x v="2"/>
    <d v="2020-07-04T00:00:00"/>
    <x v="3"/>
    <n v="62829"/>
    <x v="1"/>
    <x v="1"/>
    <n v="8064782176"/>
    <m/>
    <m/>
  </r>
  <r>
    <n v="1045"/>
    <x v="6"/>
    <x v="25"/>
    <x v="0"/>
    <d v="2019-10-12T00:00:00"/>
    <x v="5"/>
    <n v="63669"/>
    <x v="1"/>
    <x v="2"/>
    <n v="8684649540"/>
    <m/>
    <m/>
  </r>
  <r>
    <n v="1046"/>
    <x v="7"/>
    <x v="26"/>
    <x v="1"/>
    <s v="9/19/2022"/>
    <x v="0"/>
    <n v="45281"/>
    <x v="2"/>
    <x v="3"/>
    <n v="8890617225"/>
    <m/>
    <m/>
  </r>
  <r>
    <n v="1047"/>
    <x v="8"/>
    <x v="27"/>
    <x v="2"/>
    <s v="8/21/2022"/>
    <x v="1"/>
    <n v="69848"/>
    <x v="1"/>
    <x v="4"/>
    <n v="8497518826"/>
    <m/>
    <m/>
  </r>
  <r>
    <n v="1048"/>
    <x v="9"/>
    <x v="3"/>
    <x v="2"/>
    <d v="2021-09-03T00:00:00"/>
    <x v="2"/>
    <n v="49894"/>
    <x v="2"/>
    <x v="5"/>
    <n v="8472841238"/>
    <m/>
    <m/>
  </r>
  <r>
    <n v="1049"/>
    <x v="10"/>
    <x v="13"/>
    <x v="0"/>
    <s v="6/17/2019"/>
    <x v="3"/>
    <n v="40839"/>
    <x v="2"/>
    <x v="0"/>
    <n v="8713180440"/>
    <m/>
    <m/>
  </r>
  <r>
    <n v="1050"/>
    <x v="11"/>
    <x v="28"/>
    <x v="0"/>
    <d v="2021-08-12T00:00:00"/>
    <x v="4"/>
    <n v="25790"/>
    <x v="0"/>
    <x v="1"/>
    <n v="9550842050"/>
    <m/>
    <m/>
  </r>
  <r>
    <n v="1051"/>
    <x v="12"/>
    <x v="15"/>
    <x v="0"/>
    <s v="8/24/2020"/>
    <x v="5"/>
    <n v="25878"/>
    <x v="0"/>
    <x v="2"/>
    <n v="8652496713"/>
    <m/>
    <m/>
  </r>
  <r>
    <n v="1052"/>
    <x v="13"/>
    <x v="29"/>
    <x v="2"/>
    <s v="3/28/2021"/>
    <x v="1"/>
    <n v="51164"/>
    <x v="2"/>
    <x v="3"/>
    <n v="9670495683"/>
    <m/>
    <m/>
  </r>
  <r>
    <n v="1053"/>
    <x v="14"/>
    <x v="30"/>
    <x v="0"/>
    <s v="9/17/2020"/>
    <x v="2"/>
    <n v="23950"/>
    <x v="0"/>
    <x v="4"/>
    <n v="9402027533"/>
    <m/>
    <m/>
  </r>
  <r>
    <n v="1054"/>
    <x v="15"/>
    <x v="6"/>
    <x v="0"/>
    <s v="8/30/2023"/>
    <x v="3"/>
    <n v="57731"/>
    <x v="2"/>
    <x v="5"/>
    <n v="8090024500"/>
    <m/>
    <m/>
  </r>
  <r>
    <n v="1055"/>
    <x v="16"/>
    <x v="11"/>
    <x v="0"/>
    <s v="3/17/2023"/>
    <x v="4"/>
    <n v="37553"/>
    <x v="0"/>
    <x v="0"/>
    <n v="8465341266"/>
    <m/>
    <m/>
  </r>
  <r>
    <n v="1056"/>
    <x v="17"/>
    <x v="31"/>
    <x v="2"/>
    <s v="5/20/2019"/>
    <x v="0"/>
    <n v="23189"/>
    <x v="0"/>
    <x v="1"/>
    <n v="9658584008"/>
    <m/>
    <m/>
  </r>
  <r>
    <n v="1057"/>
    <x v="18"/>
    <x v="20"/>
    <x v="0"/>
    <d v="2019-11-07T00:00:00"/>
    <x v="1"/>
    <n v="50079"/>
    <x v="2"/>
    <x v="2"/>
    <n v="8701199135"/>
    <m/>
    <m/>
  </r>
  <r>
    <n v="1058"/>
    <x v="19"/>
    <x v="32"/>
    <x v="2"/>
    <s v="4/24/2023"/>
    <x v="2"/>
    <n v="24135"/>
    <x v="0"/>
    <x v="3"/>
    <n v="9349839075"/>
    <m/>
    <m/>
  </r>
  <r>
    <n v="1059"/>
    <x v="20"/>
    <x v="10"/>
    <x v="2"/>
    <s v="4/19/2019"/>
    <x v="3"/>
    <n v="23934"/>
    <x v="0"/>
    <x v="4"/>
    <n v="9138113583"/>
    <m/>
    <m/>
  </r>
  <r>
    <n v="1060"/>
    <x v="21"/>
    <x v="19"/>
    <x v="2"/>
    <s v="5/30/2020"/>
    <x v="4"/>
    <n v="68711"/>
    <x v="1"/>
    <x v="5"/>
    <n v="9886763358"/>
    <m/>
    <m/>
  </r>
  <r>
    <n v="1061"/>
    <x v="22"/>
    <x v="10"/>
    <x v="0"/>
    <s v="3/14/2022"/>
    <x v="0"/>
    <n v="30067"/>
    <x v="0"/>
    <x v="0"/>
    <n v="8116085677"/>
    <m/>
    <m/>
  </r>
  <r>
    <n v="1062"/>
    <x v="23"/>
    <x v="23"/>
    <x v="2"/>
    <d v="2022-12-01T00:00:00"/>
    <x v="5"/>
    <n v="36604"/>
    <x v="0"/>
    <x v="1"/>
    <n v="8076675684"/>
    <m/>
    <m/>
  </r>
  <r>
    <n v="1063"/>
    <x v="24"/>
    <x v="8"/>
    <x v="0"/>
    <s v="1/25/2019"/>
    <x v="2"/>
    <n v="29717"/>
    <x v="0"/>
    <x v="2"/>
    <n v="8988189673"/>
    <m/>
    <m/>
  </r>
  <r>
    <n v="1064"/>
    <x v="25"/>
    <x v="5"/>
    <x v="0"/>
    <d v="2023-08-12T00:00:00"/>
    <x v="3"/>
    <n v="39949"/>
    <x v="0"/>
    <x v="3"/>
    <n v="9292710949"/>
    <m/>
    <m/>
  </r>
  <r>
    <n v="1065"/>
    <x v="26"/>
    <x v="33"/>
    <x v="0"/>
    <s v="6/28/2019"/>
    <x v="4"/>
    <n v="27482"/>
    <x v="0"/>
    <x v="4"/>
    <n v="8588490084"/>
    <m/>
    <m/>
  </r>
  <r>
    <n v="1066"/>
    <x v="27"/>
    <x v="28"/>
    <x v="0"/>
    <s v="4/14/2020"/>
    <x v="0"/>
    <n v="67806"/>
    <x v="1"/>
    <x v="5"/>
    <n v="8756644530"/>
    <m/>
    <m/>
  </r>
  <r>
    <n v="1067"/>
    <x v="28"/>
    <x v="33"/>
    <x v="2"/>
    <s v="8/17/2020"/>
    <x v="1"/>
    <n v="32878"/>
    <x v="0"/>
    <x v="0"/>
    <n v="9122189072"/>
    <m/>
    <m/>
  </r>
  <r>
    <n v="1068"/>
    <x v="29"/>
    <x v="34"/>
    <x v="0"/>
    <d v="2019-07-01T00:00:00"/>
    <x v="2"/>
    <n v="41830"/>
    <x v="2"/>
    <x v="1"/>
    <n v="9941461000"/>
    <m/>
    <m/>
  </r>
  <r>
    <n v="1069"/>
    <x v="30"/>
    <x v="35"/>
    <x v="0"/>
    <d v="2019-11-03T00:00:00"/>
    <x v="3"/>
    <n v="46700"/>
    <x v="2"/>
    <x v="2"/>
    <n v="9404249566"/>
    <m/>
    <m/>
  </r>
  <r>
    <n v="1070"/>
    <x v="31"/>
    <x v="35"/>
    <x v="2"/>
    <s v="7/24/2021"/>
    <x v="4"/>
    <n v="60732"/>
    <x v="1"/>
    <x v="3"/>
    <n v="8382092023"/>
    <m/>
    <m/>
  </r>
  <r>
    <n v="1071"/>
    <x v="32"/>
    <x v="27"/>
    <x v="2"/>
    <s v="10/18/2023"/>
    <x v="0"/>
    <n v="64920"/>
    <x v="1"/>
    <x v="4"/>
    <n v="9297762344"/>
    <m/>
    <m/>
  </r>
  <r>
    <n v="1072"/>
    <x v="33"/>
    <x v="8"/>
    <x v="2"/>
    <s v="4/27/2022"/>
    <x v="1"/>
    <n v="63713"/>
    <x v="1"/>
    <x v="5"/>
    <n v="8691624689"/>
    <m/>
    <m/>
  </r>
  <r>
    <n v="1073"/>
    <x v="34"/>
    <x v="9"/>
    <x v="0"/>
    <s v="4/16/2021"/>
    <x v="2"/>
    <n v="56331"/>
    <x v="2"/>
    <x v="0"/>
    <n v="9589325707"/>
    <m/>
    <m/>
  </r>
  <r>
    <n v="1074"/>
    <x v="35"/>
    <x v="15"/>
    <x v="0"/>
    <s v="4/30/2019"/>
    <x v="3"/>
    <n v="28467"/>
    <x v="0"/>
    <x v="1"/>
    <n v="8344974091"/>
    <m/>
    <m/>
  </r>
  <r>
    <n v="1075"/>
    <x v="36"/>
    <x v="36"/>
    <x v="0"/>
    <s v="1/21/2021"/>
    <x v="4"/>
    <n v="31885"/>
    <x v="0"/>
    <x v="2"/>
    <n v="9621747304"/>
    <m/>
    <m/>
  </r>
  <r>
    <n v="1076"/>
    <x v="37"/>
    <x v="33"/>
    <x v="2"/>
    <s v="4/21/2023"/>
    <x v="0"/>
    <n v="40493"/>
    <x v="2"/>
    <x v="3"/>
    <n v="8858304505"/>
    <m/>
    <m/>
  </r>
  <r>
    <n v="1077"/>
    <x v="0"/>
    <x v="25"/>
    <x v="2"/>
    <d v="2019-09-09T00:00:00"/>
    <x v="1"/>
    <n v="69010"/>
    <x v="1"/>
    <x v="4"/>
    <n v="8281884627"/>
    <m/>
    <m/>
  </r>
  <r>
    <n v="1078"/>
    <x v="1"/>
    <x v="10"/>
    <x v="0"/>
    <d v="2022-08-03T00:00:00"/>
    <x v="2"/>
    <n v="26965"/>
    <x v="0"/>
    <x v="5"/>
    <n v="9904455974"/>
    <m/>
    <m/>
  </r>
  <r>
    <n v="1079"/>
    <x v="2"/>
    <x v="37"/>
    <x v="0"/>
    <s v="8/13/2022"/>
    <x v="3"/>
    <n v="41420"/>
    <x v="2"/>
    <x v="0"/>
    <n v="8047089665"/>
    <m/>
    <m/>
  </r>
  <r>
    <n v="1080"/>
    <x v="3"/>
    <x v="1"/>
    <x v="0"/>
    <s v="9/21/2019"/>
    <x v="4"/>
    <n v="69136"/>
    <x v="1"/>
    <x v="1"/>
    <n v="9952183106"/>
    <m/>
    <m/>
  </r>
  <r>
    <n v="1081"/>
    <x v="4"/>
    <x v="11"/>
    <x v="2"/>
    <s v="1/24/2023"/>
    <x v="0"/>
    <n v="32601"/>
    <x v="0"/>
    <x v="2"/>
    <n v="9417086595"/>
    <m/>
    <m/>
  </r>
  <r>
    <n v="1082"/>
    <x v="5"/>
    <x v="22"/>
    <x v="0"/>
    <d v="2023-06-11T00:00:00"/>
    <x v="1"/>
    <n v="38380"/>
    <x v="0"/>
    <x v="3"/>
    <n v="9401508050"/>
    <m/>
    <m/>
  </r>
  <r>
    <n v="1083"/>
    <x v="6"/>
    <x v="28"/>
    <x v="0"/>
    <s v="11/25/2022"/>
    <x v="2"/>
    <n v="49149"/>
    <x v="2"/>
    <x v="4"/>
    <n v="9475427443"/>
    <m/>
    <m/>
  </r>
  <r>
    <n v="1084"/>
    <x v="7"/>
    <x v="31"/>
    <x v="0"/>
    <s v="8/30/2022"/>
    <x v="3"/>
    <n v="58502"/>
    <x v="2"/>
    <x v="5"/>
    <n v="9015401235"/>
    <m/>
    <m/>
  </r>
  <r>
    <n v="1085"/>
    <x v="8"/>
    <x v="26"/>
    <x v="1"/>
    <d v="2023-02-10T00:00:00"/>
    <x v="4"/>
    <n v="31779"/>
    <x v="0"/>
    <x v="0"/>
    <n v="9535791105"/>
    <m/>
    <m/>
  </r>
  <r>
    <n v="1086"/>
    <x v="9"/>
    <x v="38"/>
    <x v="2"/>
    <d v="2019-11-06T00:00:00"/>
    <x v="0"/>
    <n v="46016"/>
    <x v="2"/>
    <x v="1"/>
    <n v="9206727762"/>
    <m/>
    <m/>
  </r>
  <r>
    <n v="1087"/>
    <x v="10"/>
    <x v="39"/>
    <x v="2"/>
    <d v="2022-10-06T00:00:00"/>
    <x v="1"/>
    <n v="26537"/>
    <x v="0"/>
    <x v="2"/>
    <n v="9693700782"/>
    <m/>
    <m/>
  </r>
  <r>
    <n v="1088"/>
    <x v="11"/>
    <x v="22"/>
    <x v="0"/>
    <d v="2023-07-03T00:00:00"/>
    <x v="2"/>
    <n v="22811"/>
    <x v="0"/>
    <x v="3"/>
    <n v="9170643766"/>
    <m/>
    <m/>
  </r>
  <r>
    <n v="1089"/>
    <x v="12"/>
    <x v="26"/>
    <x v="1"/>
    <s v="6/26/2021"/>
    <x v="3"/>
    <n v="38370"/>
    <x v="0"/>
    <x v="4"/>
    <n v="9224717289"/>
    <m/>
    <m/>
  </r>
  <r>
    <n v="1090"/>
    <x v="13"/>
    <x v="40"/>
    <x v="1"/>
    <s v="1/25/2021"/>
    <x v="4"/>
    <n v="53983"/>
    <x v="2"/>
    <x v="5"/>
    <n v="8032869699"/>
    <m/>
    <m/>
  </r>
  <r>
    <n v="1091"/>
    <x v="14"/>
    <x v="10"/>
    <x v="2"/>
    <s v="1/18/2020"/>
    <x v="0"/>
    <n v="54137"/>
    <x v="2"/>
    <x v="0"/>
    <n v="9409194912"/>
    <m/>
    <m/>
  </r>
  <r>
    <n v="1092"/>
    <x v="15"/>
    <x v="16"/>
    <x v="2"/>
    <s v="12/21/2020"/>
    <x v="1"/>
    <n v="58899"/>
    <x v="2"/>
    <x v="1"/>
    <n v="9190465034"/>
    <m/>
    <m/>
  </r>
  <r>
    <n v="1093"/>
    <x v="16"/>
    <x v="10"/>
    <x v="2"/>
    <s v="3/30/2020"/>
    <x v="2"/>
    <n v="52705"/>
    <x v="2"/>
    <x v="2"/>
    <n v="8965689033"/>
    <m/>
    <m/>
  </r>
  <r>
    <n v="1094"/>
    <x v="17"/>
    <x v="16"/>
    <x v="0"/>
    <d v="2020-01-04T00:00:00"/>
    <x v="3"/>
    <n v="62372"/>
    <x v="1"/>
    <x v="3"/>
    <n v="9454605082"/>
    <m/>
    <m/>
  </r>
  <r>
    <n v="1095"/>
    <x v="18"/>
    <x v="17"/>
    <x v="2"/>
    <d v="2022-09-02T00:00:00"/>
    <x v="4"/>
    <n v="67981"/>
    <x v="1"/>
    <x v="4"/>
    <n v="9190101044"/>
    <m/>
    <m/>
  </r>
  <r>
    <n v="1096"/>
    <x v="19"/>
    <x v="41"/>
    <x v="2"/>
    <s v="1/21/2023"/>
    <x v="0"/>
    <n v="63801"/>
    <x v="1"/>
    <x v="5"/>
    <n v="8599236851"/>
    <m/>
    <m/>
  </r>
  <r>
    <n v="1097"/>
    <x v="20"/>
    <x v="10"/>
    <x v="2"/>
    <s v="6/27/2023"/>
    <x v="1"/>
    <n v="37059"/>
    <x v="0"/>
    <x v="0"/>
    <n v="9327002554"/>
    <m/>
    <m/>
  </r>
  <r>
    <n v="1098"/>
    <x v="21"/>
    <x v="16"/>
    <x v="0"/>
    <s v="8/30/2021"/>
    <x v="2"/>
    <n v="55653"/>
    <x v="2"/>
    <x v="1"/>
    <n v="8342008192"/>
    <m/>
    <m/>
  </r>
  <r>
    <n v="1099"/>
    <x v="22"/>
    <x v="42"/>
    <x v="0"/>
    <s v="8/26/2021"/>
    <x v="3"/>
    <n v="28465"/>
    <x v="0"/>
    <x v="2"/>
    <n v="8842494426"/>
    <m/>
    <m/>
  </r>
  <r>
    <n v="1100"/>
    <x v="23"/>
    <x v="37"/>
    <x v="2"/>
    <s v="3/26/2022"/>
    <x v="4"/>
    <n v="33260"/>
    <x v="0"/>
    <x v="3"/>
    <n v="9558051689"/>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3:B10" firstHeaderRow="1" firstDataRow="1" firstDataCol="1"/>
  <pivotFields count="10">
    <pivotField showAll="0"/>
    <pivotField showAll="0">
      <items count="39">
        <item x="26"/>
        <item x="20"/>
        <item x="8"/>
        <item x="0"/>
        <item x="18"/>
        <item x="12"/>
        <item x="10"/>
        <item x="27"/>
        <item x="5"/>
        <item x="2"/>
        <item x="1"/>
        <item x="14"/>
        <item x="30"/>
        <item x="28"/>
        <item x="37"/>
        <item x="34"/>
        <item x="19"/>
        <item x="25"/>
        <item x="23"/>
        <item x="13"/>
        <item x="31"/>
        <item x="21"/>
        <item x="3"/>
        <item x="32"/>
        <item x="33"/>
        <item x="11"/>
        <item x="7"/>
        <item x="16"/>
        <item x="4"/>
        <item x="15"/>
        <item x="35"/>
        <item x="36"/>
        <item x="22"/>
        <item x="24"/>
        <item x="29"/>
        <item x="9"/>
        <item x="6"/>
        <item x="17"/>
        <item t="default"/>
      </items>
    </pivotField>
    <pivotField showAll="0"/>
    <pivotField showAll="0">
      <items count="4">
        <item x="2"/>
        <item x="0"/>
        <item x="1"/>
        <item t="default"/>
      </items>
    </pivotField>
    <pivotField showAll="0"/>
    <pivotField axis="axisRow" dataField="1" showAll="0">
      <items count="7">
        <item x="1"/>
        <item x="2"/>
        <item x="0"/>
        <item x="3"/>
        <item x="5"/>
        <item x="4"/>
        <item t="default"/>
      </items>
    </pivotField>
    <pivotField showAll="0"/>
    <pivotField showAll="0">
      <items count="4">
        <item x="1"/>
        <item x="0"/>
        <item x="2"/>
        <item t="default"/>
      </items>
    </pivotField>
    <pivotField showAll="0"/>
    <pivotField showAll="0"/>
  </pivotFields>
  <rowFields count="1">
    <field x="5"/>
  </rowFields>
  <rowItems count="7">
    <i>
      <x/>
    </i>
    <i>
      <x v="1"/>
    </i>
    <i>
      <x v="2"/>
    </i>
    <i>
      <x v="3"/>
    </i>
    <i>
      <x v="4"/>
    </i>
    <i>
      <x v="5"/>
    </i>
    <i t="grand">
      <x/>
    </i>
  </rowItems>
  <colItems count="1">
    <i/>
  </colItems>
  <dataFields count="1">
    <dataField name="department segments" fld="5" subtotal="count" baseField="0" baseItem="9"/>
  </dataFields>
  <chartFormats count="2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5" count="1" selected="0">
            <x v="0"/>
          </reference>
        </references>
      </pivotArea>
    </chartFormat>
    <chartFormat chart="14" format="15">
      <pivotArea type="data" outline="0" fieldPosition="0">
        <references count="2">
          <reference field="4294967294" count="1" selected="0">
            <x v="0"/>
          </reference>
          <reference field="5" count="1" selected="0">
            <x v="1"/>
          </reference>
        </references>
      </pivotArea>
    </chartFormat>
    <chartFormat chart="14" format="16">
      <pivotArea type="data" outline="0" fieldPosition="0">
        <references count="2">
          <reference field="4294967294" count="1" selected="0">
            <x v="0"/>
          </reference>
          <reference field="5" count="1" selected="0">
            <x v="2"/>
          </reference>
        </references>
      </pivotArea>
    </chartFormat>
    <chartFormat chart="14" format="17">
      <pivotArea type="data" outline="0" fieldPosition="0">
        <references count="2">
          <reference field="4294967294" count="1" selected="0">
            <x v="0"/>
          </reference>
          <reference field="5" count="1" selected="0">
            <x v="3"/>
          </reference>
        </references>
      </pivotArea>
    </chartFormat>
    <chartFormat chart="14" format="18">
      <pivotArea type="data" outline="0" fieldPosition="0">
        <references count="2">
          <reference field="4294967294" count="1" selected="0">
            <x v="0"/>
          </reference>
          <reference field="5" count="1" selected="0">
            <x v="4"/>
          </reference>
        </references>
      </pivotArea>
    </chartFormat>
    <chartFormat chart="14" format="19">
      <pivotArea type="data" outline="0" fieldPosition="0">
        <references count="2">
          <reference field="4294967294" count="1" selected="0">
            <x v="0"/>
          </reference>
          <reference field="5" count="1" selected="0">
            <x v="5"/>
          </reference>
        </references>
      </pivotArea>
    </chartFormat>
    <chartFormat chart="0" format="6">
      <pivotArea type="data" outline="0" fieldPosition="0">
        <references count="2">
          <reference field="4294967294" count="1" selected="0">
            <x v="0"/>
          </reference>
          <reference field="5" count="1" selected="0">
            <x v="0"/>
          </reference>
        </references>
      </pivotArea>
    </chartFormat>
    <chartFormat chart="0" format="7">
      <pivotArea type="data" outline="0" fieldPosition="0">
        <references count="2">
          <reference field="4294967294" count="1" selected="0">
            <x v="0"/>
          </reference>
          <reference field="5" count="1" selected="0">
            <x v="1"/>
          </reference>
        </references>
      </pivotArea>
    </chartFormat>
    <chartFormat chart="0" format="8">
      <pivotArea type="data" outline="0" fieldPosition="0">
        <references count="2">
          <reference field="4294967294" count="1" selected="0">
            <x v="0"/>
          </reference>
          <reference field="5" count="1" selected="0">
            <x v="2"/>
          </reference>
        </references>
      </pivotArea>
    </chartFormat>
    <chartFormat chart="0" format="9">
      <pivotArea type="data" outline="0" fieldPosition="0">
        <references count="2">
          <reference field="4294967294" count="1" selected="0">
            <x v="0"/>
          </reference>
          <reference field="5" count="1" selected="0">
            <x v="3"/>
          </reference>
        </references>
      </pivotArea>
    </chartFormat>
    <chartFormat chart="0" format="10">
      <pivotArea type="data" outline="0" fieldPosition="0">
        <references count="2">
          <reference field="4294967294" count="1" selected="0">
            <x v="0"/>
          </reference>
          <reference field="5" count="1" selected="0">
            <x v="4"/>
          </reference>
        </references>
      </pivotArea>
    </chartFormat>
    <chartFormat chart="0" format="11">
      <pivotArea type="data" outline="0" fieldPosition="0">
        <references count="2">
          <reference field="4294967294" count="1" selected="0">
            <x v="0"/>
          </reference>
          <reference field="5" count="1" selected="0">
            <x v="5"/>
          </reference>
        </references>
      </pivotArea>
    </chartFormat>
    <chartFormat chart="16" format="19" series="1">
      <pivotArea type="data" outline="0" fieldPosition="0">
        <references count="1">
          <reference field="4294967294" count="1" selected="0">
            <x v="0"/>
          </reference>
        </references>
      </pivotArea>
    </chartFormat>
    <chartFormat chart="16" format="20">
      <pivotArea type="data" outline="0" fieldPosition="0">
        <references count="2">
          <reference field="4294967294" count="1" selected="0">
            <x v="0"/>
          </reference>
          <reference field="5" count="1" selected="0">
            <x v="0"/>
          </reference>
        </references>
      </pivotArea>
    </chartFormat>
    <chartFormat chart="16" format="21">
      <pivotArea type="data" outline="0" fieldPosition="0">
        <references count="2">
          <reference field="4294967294" count="1" selected="0">
            <x v="0"/>
          </reference>
          <reference field="5" count="1" selected="0">
            <x v="1"/>
          </reference>
        </references>
      </pivotArea>
    </chartFormat>
    <chartFormat chart="16" format="22">
      <pivotArea type="data" outline="0" fieldPosition="0">
        <references count="2">
          <reference field="4294967294" count="1" selected="0">
            <x v="0"/>
          </reference>
          <reference field="5" count="1" selected="0">
            <x v="2"/>
          </reference>
        </references>
      </pivotArea>
    </chartFormat>
    <chartFormat chart="16" format="23">
      <pivotArea type="data" outline="0" fieldPosition="0">
        <references count="2">
          <reference field="4294967294" count="1" selected="0">
            <x v="0"/>
          </reference>
          <reference field="5" count="1" selected="0">
            <x v="3"/>
          </reference>
        </references>
      </pivotArea>
    </chartFormat>
    <chartFormat chart="16" format="24">
      <pivotArea type="data" outline="0" fieldPosition="0">
        <references count="2">
          <reference field="4294967294" count="1" selected="0">
            <x v="0"/>
          </reference>
          <reference field="5" count="1" selected="0">
            <x v="4"/>
          </reference>
        </references>
      </pivotArea>
    </chartFormat>
    <chartFormat chart="16" format="25">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A3:B9" firstHeaderRow="1" firstDataRow="1" firstDataCol="1"/>
  <pivotFields count="10">
    <pivotField showAll="0"/>
    <pivotField showAll="0">
      <items count="39">
        <item x="26"/>
        <item x="20"/>
        <item x="8"/>
        <item x="0"/>
        <item x="18"/>
        <item x="12"/>
        <item x="10"/>
        <item x="27"/>
        <item x="5"/>
        <item x="2"/>
        <item x="1"/>
        <item x="14"/>
        <item x="30"/>
        <item x="28"/>
        <item x="37"/>
        <item x="34"/>
        <item x="19"/>
        <item x="25"/>
        <item x="23"/>
        <item x="13"/>
        <item x="31"/>
        <item x="21"/>
        <item x="3"/>
        <item x="32"/>
        <item x="33"/>
        <item x="11"/>
        <item x="7"/>
        <item x="16"/>
        <item x="4"/>
        <item x="15"/>
        <item x="35"/>
        <item x="36"/>
        <item x="22"/>
        <item x="24"/>
        <item x="29"/>
        <item x="9"/>
        <item x="6"/>
        <item x="17"/>
        <item t="default"/>
      </items>
    </pivotField>
    <pivotField showAll="0"/>
    <pivotField showAll="0">
      <items count="4">
        <item x="2"/>
        <item x="0"/>
        <item x="1"/>
        <item t="default"/>
      </items>
    </pivotField>
    <pivotField showAll="0"/>
    <pivotField axis="axisRow" showAll="0">
      <items count="7">
        <item x="1"/>
        <item x="2"/>
        <item x="0"/>
        <item x="3"/>
        <item x="5"/>
        <item x="4"/>
        <item t="default"/>
      </items>
    </pivotField>
    <pivotField dataField="1" showAll="0"/>
    <pivotField showAll="0">
      <items count="4">
        <item x="1"/>
        <item x="0"/>
        <item x="2"/>
        <item t="default"/>
      </items>
    </pivotField>
    <pivotField showAll="0"/>
    <pivotField showAll="0"/>
  </pivotFields>
  <rowFields count="1">
    <field x="5"/>
  </rowFields>
  <rowItems count="6">
    <i>
      <x/>
    </i>
    <i>
      <x v="1"/>
    </i>
    <i>
      <x v="2"/>
    </i>
    <i>
      <x v="3"/>
    </i>
    <i>
      <x v="4"/>
    </i>
    <i>
      <x v="5"/>
    </i>
  </rowItems>
  <colItems count="1">
    <i/>
  </colItems>
  <dataFields count="1">
    <dataField name="Salary by Department" fld="6" baseField="5" baseItem="1"/>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2">
  <location ref="A4:B14" firstHeaderRow="1" firstDataRow="1" firstDataCol="1"/>
  <pivotFields count="10">
    <pivotField showAll="0"/>
    <pivotField axis="axisRow" showAll="0" measureFilter="1" sortType="ascending">
      <items count="39">
        <item x="26"/>
        <item x="20"/>
        <item x="8"/>
        <item x="0"/>
        <item x="18"/>
        <item x="12"/>
        <item x="10"/>
        <item x="27"/>
        <item x="5"/>
        <item x="2"/>
        <item x="1"/>
        <item x="14"/>
        <item x="30"/>
        <item x="28"/>
        <item x="37"/>
        <item x="34"/>
        <item x="19"/>
        <item x="25"/>
        <item x="23"/>
        <item x="13"/>
        <item x="31"/>
        <item x="21"/>
        <item x="3"/>
        <item x="32"/>
        <item x="33"/>
        <item x="11"/>
        <item x="7"/>
        <item x="16"/>
        <item x="4"/>
        <item x="15"/>
        <item x="35"/>
        <item x="36"/>
        <item x="22"/>
        <item x="24"/>
        <item x="29"/>
        <item x="9"/>
        <item x="6"/>
        <item x="17"/>
        <item t="default"/>
      </items>
    </pivotField>
    <pivotField showAll="0">
      <items count="44">
        <item x="21"/>
        <item x="22"/>
        <item x="4"/>
        <item x="3"/>
        <item x="25"/>
        <item x="9"/>
        <item x="14"/>
        <item x="12"/>
        <item x="20"/>
        <item x="19"/>
        <item x="41"/>
        <item x="10"/>
        <item x="24"/>
        <item x="16"/>
        <item x="30"/>
        <item x="34"/>
        <item x="39"/>
        <item x="27"/>
        <item x="38"/>
        <item x="13"/>
        <item x="8"/>
        <item x="0"/>
        <item x="31"/>
        <item x="29"/>
        <item x="23"/>
        <item x="17"/>
        <item x="1"/>
        <item x="37"/>
        <item x="15"/>
        <item x="32"/>
        <item x="42"/>
        <item x="11"/>
        <item x="36"/>
        <item x="33"/>
        <item x="35"/>
        <item x="6"/>
        <item x="28"/>
        <item x="18"/>
        <item x="5"/>
        <item x="40"/>
        <item x="7"/>
        <item x="2"/>
        <item x="26"/>
        <item t="default"/>
      </items>
    </pivotField>
    <pivotField showAll="0">
      <items count="4">
        <item x="2"/>
        <item x="0"/>
        <item x="1"/>
        <item t="default"/>
      </items>
    </pivotField>
    <pivotField showAll="0"/>
    <pivotField showAll="0">
      <items count="7">
        <item x="1"/>
        <item x="2"/>
        <item x="0"/>
        <item x="3"/>
        <item x="5"/>
        <item x="4"/>
        <item t="default"/>
      </items>
    </pivotField>
    <pivotField dataField="1" showAll="0"/>
    <pivotField showAll="0">
      <items count="4">
        <item x="1"/>
        <item x="0"/>
        <item x="2"/>
        <item t="default"/>
      </items>
    </pivotField>
    <pivotField showAll="0"/>
    <pivotField showAll="0"/>
  </pivotFields>
  <rowFields count="1">
    <field x="1"/>
  </rowFields>
  <rowItems count="10">
    <i>
      <x v="2"/>
    </i>
    <i>
      <x v="3"/>
    </i>
    <i>
      <x v="4"/>
    </i>
    <i>
      <x v="19"/>
    </i>
    <i>
      <x v="21"/>
    </i>
    <i>
      <x v="22"/>
    </i>
    <i>
      <x v="26"/>
    </i>
    <i>
      <x v="28"/>
    </i>
    <i>
      <x v="29"/>
    </i>
    <i>
      <x v="36"/>
    </i>
  </rowItems>
  <colItems count="1">
    <i/>
  </colItems>
  <dataFields count="1">
    <dataField name="Salary by Employee" fld="6" baseField="0" baseItem="9"/>
  </dataField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B10" firstHeaderRow="1" firstDataRow="1" firstDataCol="1"/>
  <pivotFields count="12">
    <pivotField showAll="0"/>
    <pivotField showAll="0">
      <items count="39">
        <item x="26"/>
        <item x="20"/>
        <item x="8"/>
        <item x="0"/>
        <item x="18"/>
        <item x="12"/>
        <item x="10"/>
        <item x="27"/>
        <item x="5"/>
        <item x="2"/>
        <item x="1"/>
        <item x="14"/>
        <item x="30"/>
        <item x="28"/>
        <item x="37"/>
        <item x="34"/>
        <item x="19"/>
        <item x="25"/>
        <item x="23"/>
        <item x="13"/>
        <item x="31"/>
        <item x="21"/>
        <item x="3"/>
        <item x="32"/>
        <item x="33"/>
        <item x="11"/>
        <item x="7"/>
        <item x="16"/>
        <item x="4"/>
        <item x="15"/>
        <item x="35"/>
        <item x="36"/>
        <item x="22"/>
        <item x="24"/>
        <item x="29"/>
        <item x="9"/>
        <item x="6"/>
        <item x="17"/>
        <item t="default"/>
      </items>
    </pivotField>
    <pivotField showAll="0">
      <items count="44">
        <item x="21"/>
        <item x="22"/>
        <item x="4"/>
        <item x="3"/>
        <item x="25"/>
        <item x="9"/>
        <item x="14"/>
        <item x="12"/>
        <item x="20"/>
        <item x="19"/>
        <item x="41"/>
        <item x="10"/>
        <item x="24"/>
        <item x="16"/>
        <item x="30"/>
        <item x="34"/>
        <item x="39"/>
        <item x="27"/>
        <item x="38"/>
        <item x="13"/>
        <item x="8"/>
        <item x="0"/>
        <item x="31"/>
        <item x="29"/>
        <item x="23"/>
        <item x="17"/>
        <item x="1"/>
        <item x="37"/>
        <item x="15"/>
        <item x="32"/>
        <item x="42"/>
        <item x="11"/>
        <item x="36"/>
        <item x="33"/>
        <item x="35"/>
        <item x="6"/>
        <item x="28"/>
        <item x="18"/>
        <item x="5"/>
        <item x="40"/>
        <item x="7"/>
        <item x="2"/>
        <item x="26"/>
        <item t="default"/>
      </items>
    </pivotField>
    <pivotField showAll="0"/>
    <pivotField showAll="0"/>
    <pivotField showAll="0"/>
    <pivotField dataField="1" showAll="0"/>
    <pivotField showAll="0">
      <items count="4">
        <item x="1"/>
        <item x="0"/>
        <item x="2"/>
        <item t="default"/>
      </items>
    </pivotField>
    <pivotField axis="axisRow" showAll="0">
      <items count="7">
        <item x="1"/>
        <item x="4"/>
        <item x="5"/>
        <item x="0"/>
        <item x="3"/>
        <item x="2"/>
        <item t="default"/>
      </items>
    </pivotField>
    <pivotField showAll="0"/>
    <pivotField showAll="0"/>
    <pivotField showAll="0"/>
  </pivotFields>
  <rowFields count="1">
    <field x="8"/>
  </rowFields>
  <rowItems count="7">
    <i>
      <x/>
    </i>
    <i>
      <x v="1"/>
    </i>
    <i>
      <x v="2"/>
    </i>
    <i>
      <x v="3"/>
    </i>
    <i>
      <x v="4"/>
    </i>
    <i>
      <x v="5"/>
    </i>
    <i t="grand">
      <x/>
    </i>
  </rowItems>
  <colItems count="1">
    <i/>
  </colItems>
  <dataFields count="1">
    <dataField name="Salary by City" fld="6" baseField="8" baseItem="2"/>
  </dataFields>
  <chartFormats count="28">
    <chartFormat chart="0" format="0"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8" count="1" selected="0">
            <x v="0"/>
          </reference>
        </references>
      </pivotArea>
    </chartFormat>
    <chartFormat chart="7" format="10">
      <pivotArea type="data" outline="0" fieldPosition="0">
        <references count="2">
          <reference field="4294967294" count="1" selected="0">
            <x v="0"/>
          </reference>
          <reference field="8" count="1" selected="0">
            <x v="1"/>
          </reference>
        </references>
      </pivotArea>
    </chartFormat>
    <chartFormat chart="7" format="11">
      <pivotArea type="data" outline="0" fieldPosition="0">
        <references count="2">
          <reference field="4294967294" count="1" selected="0">
            <x v="0"/>
          </reference>
          <reference field="8" count="1" selected="0">
            <x v="2"/>
          </reference>
        </references>
      </pivotArea>
    </chartFormat>
    <chartFormat chart="7" format="12">
      <pivotArea type="data" outline="0" fieldPosition="0">
        <references count="2">
          <reference field="4294967294" count="1" selected="0">
            <x v="0"/>
          </reference>
          <reference field="8" count="1" selected="0">
            <x v="3"/>
          </reference>
        </references>
      </pivotArea>
    </chartFormat>
    <chartFormat chart="7" format="13">
      <pivotArea type="data" outline="0" fieldPosition="0">
        <references count="2">
          <reference field="4294967294" count="1" selected="0">
            <x v="0"/>
          </reference>
          <reference field="8" count="1" selected="0">
            <x v="4"/>
          </reference>
        </references>
      </pivotArea>
    </chartFormat>
    <chartFormat chart="7" format="14">
      <pivotArea type="data" outline="0" fieldPosition="0">
        <references count="2">
          <reference field="4294967294" count="1" selected="0">
            <x v="0"/>
          </reference>
          <reference field="8" count="1" selected="0">
            <x v="5"/>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 chart="11" format="15" series="1">
      <pivotArea type="data" outline="0" fieldPosition="0">
        <references count="1">
          <reference field="4294967294" count="1" selected="0">
            <x v="0"/>
          </reference>
        </references>
      </pivotArea>
    </chartFormat>
    <chartFormat chart="11" format="16">
      <pivotArea type="data" outline="0" fieldPosition="0">
        <references count="2">
          <reference field="4294967294" count="1" selected="0">
            <x v="0"/>
          </reference>
          <reference field="8" count="1" selected="0">
            <x v="0"/>
          </reference>
        </references>
      </pivotArea>
    </chartFormat>
    <chartFormat chart="11" format="17">
      <pivotArea type="data" outline="0" fieldPosition="0">
        <references count="2">
          <reference field="4294967294" count="1" selected="0">
            <x v="0"/>
          </reference>
          <reference field="8" count="1" selected="0">
            <x v="1"/>
          </reference>
        </references>
      </pivotArea>
    </chartFormat>
    <chartFormat chart="11" format="18">
      <pivotArea type="data" outline="0" fieldPosition="0">
        <references count="2">
          <reference field="4294967294" count="1" selected="0">
            <x v="0"/>
          </reference>
          <reference field="8" count="1" selected="0">
            <x v="2"/>
          </reference>
        </references>
      </pivotArea>
    </chartFormat>
    <chartFormat chart="11" format="19">
      <pivotArea type="data" outline="0" fieldPosition="0">
        <references count="2">
          <reference field="4294967294" count="1" selected="0">
            <x v="0"/>
          </reference>
          <reference field="8" count="1" selected="0">
            <x v="3"/>
          </reference>
        </references>
      </pivotArea>
    </chartFormat>
    <chartFormat chart="11" format="20">
      <pivotArea type="data" outline="0" fieldPosition="0">
        <references count="2">
          <reference field="4294967294" count="1" selected="0">
            <x v="0"/>
          </reference>
          <reference field="8" count="1" selected="0">
            <x v="4"/>
          </reference>
        </references>
      </pivotArea>
    </chartFormat>
    <chartFormat chart="11" format="21">
      <pivotArea type="data" outline="0" fieldPosition="0">
        <references count="2">
          <reference field="4294967294" count="1" selected="0">
            <x v="0"/>
          </reference>
          <reference field="8" count="1" selected="0">
            <x v="5"/>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8" count="1" selected="0">
            <x v="0"/>
          </reference>
        </references>
      </pivotArea>
    </chartFormat>
    <chartFormat chart="14" format="16">
      <pivotArea type="data" outline="0" fieldPosition="0">
        <references count="2">
          <reference field="4294967294" count="1" selected="0">
            <x v="0"/>
          </reference>
          <reference field="8" count="1" selected="0">
            <x v="1"/>
          </reference>
        </references>
      </pivotArea>
    </chartFormat>
    <chartFormat chart="14" format="17">
      <pivotArea type="data" outline="0" fieldPosition="0">
        <references count="2">
          <reference field="4294967294" count="1" selected="0">
            <x v="0"/>
          </reference>
          <reference field="8" count="1" selected="0">
            <x v="2"/>
          </reference>
        </references>
      </pivotArea>
    </chartFormat>
    <chartFormat chart="14" format="18">
      <pivotArea type="data" outline="0" fieldPosition="0">
        <references count="2">
          <reference field="4294967294" count="1" selected="0">
            <x v="0"/>
          </reference>
          <reference field="8" count="1" selected="0">
            <x v="3"/>
          </reference>
        </references>
      </pivotArea>
    </chartFormat>
    <chartFormat chart="14" format="19">
      <pivotArea type="data" outline="0" fieldPosition="0">
        <references count="2">
          <reference field="4294967294" count="1" selected="0">
            <x v="0"/>
          </reference>
          <reference field="8" count="1" selected="0">
            <x v="4"/>
          </reference>
        </references>
      </pivotArea>
    </chartFormat>
    <chartFormat chart="14" format="20">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B7" firstHeaderRow="1" firstDataRow="1" firstDataCol="1"/>
  <pivotFields count="10">
    <pivotField showAll="0"/>
    <pivotField showAll="0">
      <items count="39">
        <item x="26"/>
        <item x="20"/>
        <item x="8"/>
        <item x="0"/>
        <item x="18"/>
        <item x="12"/>
        <item x="10"/>
        <item x="27"/>
        <item x="5"/>
        <item x="2"/>
        <item x="1"/>
        <item x="14"/>
        <item x="30"/>
        <item x="28"/>
        <item x="37"/>
        <item x="34"/>
        <item x="19"/>
        <item x="25"/>
        <item x="23"/>
        <item x="13"/>
        <item x="31"/>
        <item x="21"/>
        <item x="3"/>
        <item x="32"/>
        <item x="33"/>
        <item x="11"/>
        <item x="7"/>
        <item x="16"/>
        <item x="4"/>
        <item x="15"/>
        <item x="35"/>
        <item x="36"/>
        <item x="22"/>
        <item x="24"/>
        <item x="29"/>
        <item x="9"/>
        <item x="6"/>
        <item x="17"/>
        <item t="default"/>
      </items>
    </pivotField>
    <pivotField showAll="0"/>
    <pivotField axis="axisRow" showAll="0">
      <items count="4">
        <item x="2"/>
        <item x="0"/>
        <item x="1"/>
        <item t="default"/>
      </items>
    </pivotField>
    <pivotField showAll="0"/>
    <pivotField showAll="0">
      <items count="7">
        <item x="1"/>
        <item x="2"/>
        <item x="0"/>
        <item x="3"/>
        <item x="5"/>
        <item x="4"/>
        <item t="default"/>
      </items>
    </pivotField>
    <pivotField dataField="1" showAll="0"/>
    <pivotField showAll="0">
      <items count="4">
        <item x="1"/>
        <item x="0"/>
        <item x="2"/>
        <item t="default"/>
      </items>
    </pivotField>
    <pivotField showAll="0"/>
    <pivotField showAll="0"/>
  </pivotFields>
  <rowFields count="1">
    <field x="3"/>
  </rowFields>
  <rowItems count="4">
    <i>
      <x/>
    </i>
    <i>
      <x v="1"/>
    </i>
    <i>
      <x v="2"/>
    </i>
    <i t="grand">
      <x/>
    </i>
  </rowItems>
  <colItems count="1">
    <i/>
  </colItems>
  <dataFields count="1">
    <dataField name="salary by age status" fld="6" baseField="0" baseItem="9"/>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7" firstHeaderRow="1" firstDataRow="1" firstDataCol="1"/>
  <pivotFields count="10">
    <pivotField showAll="0"/>
    <pivotField showAll="0">
      <items count="39">
        <item x="26"/>
        <item x="20"/>
        <item x="8"/>
        <item x="0"/>
        <item x="18"/>
        <item x="12"/>
        <item x="10"/>
        <item x="27"/>
        <item x="5"/>
        <item x="2"/>
        <item x="1"/>
        <item x="14"/>
        <item x="30"/>
        <item x="28"/>
        <item x="37"/>
        <item x="34"/>
        <item x="19"/>
        <item x="25"/>
        <item x="23"/>
        <item x="13"/>
        <item x="31"/>
        <item x="21"/>
        <item x="3"/>
        <item x="32"/>
        <item x="33"/>
        <item x="11"/>
        <item x="7"/>
        <item x="16"/>
        <item x="4"/>
        <item x="15"/>
        <item x="35"/>
        <item x="36"/>
        <item x="22"/>
        <item x="24"/>
        <item x="29"/>
        <item x="9"/>
        <item x="6"/>
        <item x="17"/>
        <item t="default"/>
      </items>
    </pivotField>
    <pivotField showAll="0"/>
    <pivotField showAll="0">
      <items count="4">
        <item x="2"/>
        <item x="0"/>
        <item x="1"/>
        <item t="default"/>
      </items>
    </pivotField>
    <pivotField showAll="0"/>
    <pivotField showAll="0">
      <items count="7">
        <item x="1"/>
        <item x="2"/>
        <item x="0"/>
        <item x="3"/>
        <item x="5"/>
        <item x="4"/>
        <item t="default"/>
      </items>
    </pivotField>
    <pivotField showAll="0"/>
    <pivotField axis="axisRow" dataField="1" showAll="0">
      <items count="4">
        <item x="1"/>
        <item x="0"/>
        <item x="2"/>
        <item t="default"/>
      </items>
    </pivotField>
    <pivotField showAll="0"/>
    <pivotField showAll="0"/>
  </pivotFields>
  <rowFields count="1">
    <field x="7"/>
  </rowFields>
  <rowItems count="4">
    <i>
      <x/>
    </i>
    <i>
      <x v="1"/>
    </i>
    <i>
      <x v="2"/>
    </i>
    <i t="grand">
      <x/>
    </i>
  </rowItems>
  <colItems count="1">
    <i/>
  </colItems>
  <dataFields count="1">
    <dataField name="Count of Salary Status" fld="7" subtotal="count" baseField="0" baseItem="0"/>
  </dataFields>
  <chartFormats count="12">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0"/>
          </reference>
        </references>
      </pivotArea>
    </chartFormat>
    <chartFormat chart="7" format="10">
      <pivotArea type="data" outline="0" fieldPosition="0">
        <references count="2">
          <reference field="4294967294" count="1" selected="0">
            <x v="0"/>
          </reference>
          <reference field="7" count="1" selected="0">
            <x v="1"/>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E11" firstHeaderRow="1" firstDataRow="2" firstDataCol="1"/>
  <pivotFields count="12">
    <pivotField showAll="0"/>
    <pivotField showAll="0"/>
    <pivotField showAll="0"/>
    <pivotField axis="axisCol" showAll="0">
      <items count="4">
        <item x="2"/>
        <item x="0"/>
        <item x="1"/>
        <item t="default"/>
      </items>
    </pivotField>
    <pivotField showAll="0"/>
    <pivotField axis="axisRow" showAll="0">
      <items count="7">
        <item x="1"/>
        <item x="2"/>
        <item x="0"/>
        <item x="3"/>
        <item x="5"/>
        <item x="4"/>
        <item t="default"/>
      </items>
    </pivotField>
    <pivotField dataField="1" showAll="0"/>
    <pivotField showAll="0"/>
    <pivotField showAll="0"/>
    <pivotField showAll="0"/>
    <pivotField showAll="0"/>
    <pivotField showAll="0"/>
  </pivotFields>
  <rowFields count="1">
    <field x="5"/>
  </rowFields>
  <rowItems count="7">
    <i>
      <x/>
    </i>
    <i>
      <x v="1"/>
    </i>
    <i>
      <x v="2"/>
    </i>
    <i>
      <x v="3"/>
    </i>
    <i>
      <x v="4"/>
    </i>
    <i>
      <x v="5"/>
    </i>
    <i t="grand">
      <x/>
    </i>
  </rowItems>
  <colFields count="1">
    <field x="3"/>
  </colFields>
  <colItems count="4">
    <i>
      <x/>
    </i>
    <i>
      <x v="1"/>
    </i>
    <i>
      <x v="2"/>
    </i>
    <i t="grand">
      <x/>
    </i>
  </colItems>
  <dataFields count="1">
    <dataField name="Department VS Age Status BY Salary" fld="6" baseField="5"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5" format="6" series="1">
      <pivotArea type="data" outline="0" fieldPosition="0">
        <references count="2">
          <reference field="4294967294" count="1" selected="0">
            <x v="0"/>
          </reference>
          <reference field="3" count="1" selected="0">
            <x v="0"/>
          </reference>
        </references>
      </pivotArea>
    </chartFormat>
    <chartFormat chart="5" format="7" series="1">
      <pivotArea type="data" outline="0" fieldPosition="0">
        <references count="2">
          <reference field="4294967294" count="1" selected="0">
            <x v="0"/>
          </reference>
          <reference field="3" count="1" selected="0">
            <x v="1"/>
          </reference>
        </references>
      </pivotArea>
    </chartFormat>
    <chartFormat chart="5"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Status" xr10:uid="{00000000-0013-0000-FFFF-FFFF01000000}" sourceName="Age Status">
  <pivotTables>
    <pivotTable tabId="5" name="PivotTable2"/>
    <pivotTable tabId="4" name="PivotTable1"/>
    <pivotTable tabId="9" name="PivotTable7"/>
    <pivotTable tabId="6" name="PivotTable3"/>
    <pivotTable tabId="11" name="PivotTable8"/>
  </pivotTables>
  <data>
    <tabular pivotCacheId="120916928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2000000}" sourceName="Department">
  <pivotTables>
    <pivotTable tabId="5" name="PivotTable2"/>
    <pivotTable tabId="4" name="PivotTable1"/>
    <pivotTable tabId="9" name="PivotTable7"/>
    <pivotTable tabId="6" name="PivotTable3"/>
    <pivotTable tabId="11" name="PivotTable8"/>
  </pivotTables>
  <data>
    <tabular pivotCacheId="1209169289">
      <items count="6">
        <i x="1" s="1"/>
        <i x="2" s="1"/>
        <i x="0" s="1"/>
        <i x="3"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Status" xr10:uid="{00000000-0013-0000-FFFF-FFFF03000000}" sourceName="Salary Status">
  <pivotTables>
    <pivotTable tabId="5" name="PivotTable2"/>
    <pivotTable tabId="4" name="PivotTable1"/>
    <pivotTable tabId="9" name="PivotTable7"/>
    <pivotTable tabId="6" name="PivotTable3"/>
    <pivotTable tabId="11" name="PivotTable8"/>
  </pivotTables>
  <data>
    <tabular pivotCacheId="1209169289">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Name" xr10:uid="{00000000-0013-0000-FFFF-FFFF04000000}" sourceName="Emp_Name">
  <pivotTables>
    <pivotTable tabId="4" name="PivotTable1"/>
    <pivotTable tabId="9" name="PivotTable7"/>
    <pivotTable tabId="5" name="PivotTable2"/>
    <pivotTable tabId="6" name="PivotTable3"/>
    <pivotTable tabId="11" name="PivotTable8"/>
  </pivotTables>
  <data>
    <tabular pivotCacheId="1209169289">
      <items count="38">
        <i x="26" s="1"/>
        <i x="20" s="1"/>
        <i x="8" s="1"/>
        <i x="0" s="1"/>
        <i x="18" s="1"/>
        <i x="12" s="1"/>
        <i x="10" s="1"/>
        <i x="27" s="1"/>
        <i x="5" s="1"/>
        <i x="2" s="1"/>
        <i x="1" s="1"/>
        <i x="14" s="1"/>
        <i x="30" s="1"/>
        <i x="28" s="1"/>
        <i x="37" s="1"/>
        <i x="34" s="1"/>
        <i x="19" s="1"/>
        <i x="25" s="1"/>
        <i x="23" s="1"/>
        <i x="13" s="1"/>
        <i x="31" s="1"/>
        <i x="21" s="1"/>
        <i x="3" s="1"/>
        <i x="32" s="1"/>
        <i x="33" s="1"/>
        <i x="11" s="1"/>
        <i x="7" s="1"/>
        <i x="16" s="1"/>
        <i x="4" s="1"/>
        <i x="15" s="1"/>
        <i x="35" s="1"/>
        <i x="36" s="1"/>
        <i x="22" s="1"/>
        <i x="24" s="1"/>
        <i x="29" s="1"/>
        <i x="9" s="1"/>
        <i x="6"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Status" xr10:uid="{00000000-0014-0000-FFFF-FFFF01000000}" cache="Slicer_Age_Status" caption="Age Status" rowHeight="234950"/>
  <slicer name="Department" xr10:uid="{00000000-0014-0000-FFFF-FFFF02000000}" cache="Slicer_Department" caption="Department" rowHeight="234950"/>
  <slicer name="Salary Status" xr10:uid="{00000000-0014-0000-FFFF-FFFF03000000}" cache="Slicer_Salary_Status" caption="Salary Status" rowHeight="234950"/>
  <slicer name="Emp_Name" xr10:uid="{00000000-0014-0000-FFFF-FFFF04000000}" cache="Slicer_Emp_Name" caption="Emp_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101" totalsRowShown="0" headerRowDxfId="48" headerRowBorderDxfId="47" tableBorderDxfId="46" totalsRowBorderDxfId="45">
  <tableColumns count="12">
    <tableColumn id="1" xr3:uid="{00000000-0010-0000-0000-000001000000}" name="SI No" dataDxfId="44"/>
    <tableColumn id="2" xr3:uid="{00000000-0010-0000-0000-000002000000}" name="Emp_Name" dataDxfId="43"/>
    <tableColumn id="3" xr3:uid="{00000000-0010-0000-0000-000003000000}" name="Age" dataDxfId="42"/>
    <tableColumn id="4" xr3:uid="{00000000-0010-0000-0000-000004000000}" name="Age Group" dataDxfId="32">
      <calculatedColumnFormula>IF(C2&gt;=60,"Senior",IF(C3&gt;=40,"Middle Age","Junior"))</calculatedColumnFormula>
    </tableColumn>
    <tableColumn id="5" xr3:uid="{00000000-0010-0000-0000-000005000000}" name="DOJ" dataDxfId="41"/>
    <tableColumn id="6" xr3:uid="{00000000-0010-0000-0000-000006000000}" name="Department" dataDxfId="40"/>
    <tableColumn id="7" xr3:uid="{00000000-0010-0000-0000-000007000000}" name="Salary" dataDxfId="39"/>
    <tableColumn id="8" xr3:uid="{00000000-0010-0000-0000-000008000000}" name="Salary Status" dataDxfId="38">
      <calculatedColumnFormula>IF(G2&gt;60000,"High",IF(G2&gt;=40000,"Medium","Low"))</calculatedColumnFormula>
    </tableColumn>
    <tableColumn id="9" xr3:uid="{00000000-0010-0000-0000-000009000000}" name="city" dataDxfId="37"/>
    <tableColumn id="10" xr3:uid="{00000000-0010-0000-0000-00000A000000}" name="Contact Number" dataDxfId="36"/>
    <tableColumn id="11" xr3:uid="{00000000-0010-0000-0000-00000B000000}" name="Average salary" dataDxfId="1" dataCellStyle="40% - Accent5">
      <calculatedColumnFormula>ROUND(AVERAGE(G2:G101),2)</calculatedColumnFormula>
    </tableColumn>
    <tableColumn id="12" xr3:uid="{00000000-0010-0000-0000-00000C000000}" name="Average Age" dataDxfId="0" dataCellStyle="60% - Accent3">
      <calculatedColumnFormula>ROUND(AVERAGE(C2:C101),2)</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workbookViewId="0">
      <selection activeCell="K5" sqref="K5"/>
    </sheetView>
  </sheetViews>
  <sheetFormatPr defaultRowHeight="14.4" x14ac:dyDescent="0.3"/>
  <cols>
    <col min="1" max="1" width="5.33203125" bestFit="1" customWidth="1"/>
    <col min="2" max="2" width="21" bestFit="1" customWidth="1"/>
    <col min="3" max="3" width="4" bestFit="1" customWidth="1"/>
    <col min="4" max="4" width="10.5546875" bestFit="1" customWidth="1"/>
    <col min="5" max="5" width="14.88671875" bestFit="1" customWidth="1"/>
    <col min="6" max="6" width="6" bestFit="1" customWidth="1"/>
    <col min="7" max="7" width="9.77734375" bestFit="1" customWidth="1"/>
    <col min="8" max="8" width="14.5546875" bestFit="1" customWidth="1"/>
  </cols>
  <sheetData>
    <row r="1" spans="1:8" x14ac:dyDescent="0.3">
      <c r="A1" s="1" t="s">
        <v>0</v>
      </c>
      <c r="B1" s="1" t="s">
        <v>1</v>
      </c>
      <c r="C1" s="1" t="s">
        <v>2</v>
      </c>
      <c r="D1" s="1" t="s">
        <v>3</v>
      </c>
      <c r="E1" s="1" t="s">
        <v>4</v>
      </c>
      <c r="F1" s="1" t="s">
        <v>5</v>
      </c>
      <c r="G1" s="1" t="s">
        <v>6</v>
      </c>
      <c r="H1" s="1" t="s">
        <v>7</v>
      </c>
    </row>
    <row r="2" spans="1:8" x14ac:dyDescent="0.3">
      <c r="A2" s="1">
        <v>1001</v>
      </c>
      <c r="B2" s="1" t="s">
        <v>8</v>
      </c>
      <c r="C2" s="1">
        <v>40</v>
      </c>
      <c r="D2" s="16">
        <v>44969</v>
      </c>
      <c r="E2" s="1" t="s">
        <v>9</v>
      </c>
      <c r="F2" s="1">
        <v>35520</v>
      </c>
      <c r="G2" s="1" t="s">
        <v>10</v>
      </c>
      <c r="H2" s="1">
        <v>9681995458</v>
      </c>
    </row>
    <row r="3" spans="1:8" x14ac:dyDescent="0.3">
      <c r="A3" s="1">
        <v>1002</v>
      </c>
      <c r="B3" s="1" t="s">
        <v>11</v>
      </c>
      <c r="C3" s="1">
        <v>45</v>
      </c>
      <c r="D3" s="16">
        <v>44599</v>
      </c>
      <c r="E3" s="1" t="s">
        <v>12</v>
      </c>
      <c r="F3" s="1">
        <v>62386</v>
      </c>
      <c r="G3" s="1" t="s">
        <v>13</v>
      </c>
      <c r="H3" s="1">
        <v>9116845884</v>
      </c>
    </row>
    <row r="4" spans="1:8" x14ac:dyDescent="0.3">
      <c r="A4" s="1">
        <v>1003</v>
      </c>
      <c r="B4" s="1" t="s">
        <v>14</v>
      </c>
      <c r="C4" s="1">
        <v>63</v>
      </c>
      <c r="D4" s="16">
        <v>44325</v>
      </c>
      <c r="E4" s="1" t="s">
        <v>15</v>
      </c>
      <c r="F4" s="1">
        <v>28353</v>
      </c>
      <c r="G4" s="1" t="s">
        <v>16</v>
      </c>
      <c r="H4" s="1">
        <v>9842537593</v>
      </c>
    </row>
    <row r="5" spans="1:8" x14ac:dyDescent="0.3">
      <c r="A5" s="1">
        <v>1004</v>
      </c>
      <c r="B5" s="1" t="s">
        <v>17</v>
      </c>
      <c r="C5" s="1">
        <v>22</v>
      </c>
      <c r="D5" s="1" t="s">
        <v>18</v>
      </c>
      <c r="E5" s="1" t="s">
        <v>19</v>
      </c>
      <c r="F5" s="1">
        <v>44179</v>
      </c>
      <c r="G5" s="1" t="s">
        <v>20</v>
      </c>
      <c r="H5" s="1">
        <v>8248924059</v>
      </c>
    </row>
    <row r="6" spans="1:8" x14ac:dyDescent="0.3">
      <c r="A6" s="1">
        <v>1005</v>
      </c>
      <c r="B6" s="1" t="s">
        <v>21</v>
      </c>
      <c r="C6" s="1">
        <v>21</v>
      </c>
      <c r="D6" s="1" t="s">
        <v>22</v>
      </c>
      <c r="E6" s="1" t="s">
        <v>23</v>
      </c>
      <c r="F6" s="1">
        <v>67162</v>
      </c>
      <c r="G6" s="1" t="s">
        <v>24</v>
      </c>
      <c r="H6" s="1">
        <v>9765919786</v>
      </c>
    </row>
    <row r="7" spans="1:8" x14ac:dyDescent="0.3">
      <c r="A7" s="1">
        <v>1006</v>
      </c>
      <c r="B7" s="1" t="s">
        <v>25</v>
      </c>
      <c r="C7" s="1">
        <v>59</v>
      </c>
      <c r="D7" s="1" t="s">
        <v>26</v>
      </c>
      <c r="E7" s="1"/>
      <c r="F7" s="1">
        <v>31319</v>
      </c>
      <c r="G7" s="1" t="s">
        <v>27</v>
      </c>
      <c r="H7" s="1">
        <v>8383101486</v>
      </c>
    </row>
    <row r="8" spans="1:8" x14ac:dyDescent="0.3">
      <c r="A8" s="1">
        <v>1007</v>
      </c>
      <c r="B8" s="1" t="s">
        <v>28</v>
      </c>
      <c r="C8" s="1">
        <v>54</v>
      </c>
      <c r="D8" s="1" t="s">
        <v>29</v>
      </c>
      <c r="E8" s="1" t="s">
        <v>12</v>
      </c>
      <c r="F8" s="1">
        <v>69474</v>
      </c>
      <c r="G8" s="1" t="s">
        <v>10</v>
      </c>
      <c r="H8" s="1">
        <v>8185019875</v>
      </c>
    </row>
    <row r="9" spans="1:8" x14ac:dyDescent="0.3">
      <c r="A9" s="1">
        <v>1008</v>
      </c>
      <c r="B9" s="1" t="s">
        <v>30</v>
      </c>
      <c r="C9" s="1">
        <v>62</v>
      </c>
      <c r="D9" s="1" t="s">
        <v>31</v>
      </c>
      <c r="E9" s="1" t="s">
        <v>15</v>
      </c>
      <c r="F9" s="1">
        <v>63344</v>
      </c>
      <c r="G9" s="1" t="s">
        <v>13</v>
      </c>
      <c r="H9" s="1">
        <v>8936658199</v>
      </c>
    </row>
    <row r="10" spans="1:8" x14ac:dyDescent="0.3">
      <c r="A10" s="1">
        <v>1009</v>
      </c>
      <c r="B10" s="1" t="s">
        <v>32</v>
      </c>
      <c r="C10" s="1">
        <v>39</v>
      </c>
      <c r="D10" s="16">
        <v>44357</v>
      </c>
      <c r="E10" s="1"/>
      <c r="F10" s="1">
        <v>55743</v>
      </c>
      <c r="G10" s="1" t="s">
        <v>16</v>
      </c>
      <c r="H10" s="1">
        <v>9103924124</v>
      </c>
    </row>
    <row r="11" spans="1:8" x14ac:dyDescent="0.3">
      <c r="A11" s="1">
        <v>1010</v>
      </c>
      <c r="B11" s="1" t="s">
        <v>33</v>
      </c>
      <c r="C11" s="1">
        <v>22</v>
      </c>
      <c r="D11" s="1" t="s">
        <v>34</v>
      </c>
      <c r="E11" s="1" t="s">
        <v>23</v>
      </c>
      <c r="F11" s="1">
        <v>34620</v>
      </c>
      <c r="G11" s="1" t="s">
        <v>20</v>
      </c>
      <c r="H11" s="1">
        <v>8285595886</v>
      </c>
    </row>
    <row r="12" spans="1:8" x14ac:dyDescent="0.3">
      <c r="A12" s="1">
        <v>1011</v>
      </c>
      <c r="B12" s="1" t="s">
        <v>35</v>
      </c>
      <c r="C12" s="1">
        <v>24</v>
      </c>
      <c r="D12" s="16">
        <v>44232</v>
      </c>
      <c r="E12" s="1" t="s">
        <v>9</v>
      </c>
      <c r="F12" s="1">
        <v>54306</v>
      </c>
      <c r="G12" s="1" t="s">
        <v>24</v>
      </c>
      <c r="H12" s="1">
        <v>8133729502</v>
      </c>
    </row>
    <row r="13" spans="1:8" x14ac:dyDescent="0.3">
      <c r="A13" s="1">
        <v>1012</v>
      </c>
      <c r="B13" s="1" t="s">
        <v>36</v>
      </c>
      <c r="C13" s="1">
        <v>30</v>
      </c>
      <c r="D13" s="1" t="s">
        <v>37</v>
      </c>
      <c r="E13" s="1" t="s">
        <v>12</v>
      </c>
      <c r="F13" s="1">
        <v>24857</v>
      </c>
      <c r="G13" s="1" t="s">
        <v>27</v>
      </c>
      <c r="H13" s="1">
        <v>8125006343</v>
      </c>
    </row>
    <row r="14" spans="1:8" x14ac:dyDescent="0.3">
      <c r="A14" s="1">
        <v>1013</v>
      </c>
      <c r="B14" s="1" t="s">
        <v>38</v>
      </c>
      <c r="C14" s="1">
        <v>50</v>
      </c>
      <c r="D14" s="16">
        <v>44570</v>
      </c>
      <c r="E14" s="1" t="s">
        <v>15</v>
      </c>
      <c r="F14" s="1">
        <v>36011</v>
      </c>
      <c r="G14" s="1" t="s">
        <v>10</v>
      </c>
      <c r="H14" s="1">
        <v>8646462988</v>
      </c>
    </row>
    <row r="15" spans="1:8" x14ac:dyDescent="0.3">
      <c r="A15" s="1">
        <v>1014</v>
      </c>
      <c r="B15" s="1" t="s">
        <v>39</v>
      </c>
      <c r="C15" s="1">
        <v>26</v>
      </c>
      <c r="D15" s="16">
        <v>44054</v>
      </c>
      <c r="E15" s="1" t="s">
        <v>19</v>
      </c>
      <c r="F15" s="1">
        <v>45500</v>
      </c>
      <c r="G15" s="1" t="s">
        <v>13</v>
      </c>
      <c r="H15" s="1">
        <v>8227233565</v>
      </c>
    </row>
    <row r="16" spans="1:8" x14ac:dyDescent="0.3">
      <c r="A16" s="1">
        <v>1015</v>
      </c>
      <c r="B16" s="1" t="s">
        <v>40</v>
      </c>
      <c r="C16" s="1">
        <v>39</v>
      </c>
      <c r="D16" s="1" t="s">
        <v>41</v>
      </c>
      <c r="E16" s="1"/>
      <c r="F16" s="1">
        <v>24549</v>
      </c>
      <c r="G16" s="1" t="s">
        <v>16</v>
      </c>
      <c r="H16" s="1">
        <v>8821608961</v>
      </c>
    </row>
    <row r="17" spans="1:8" x14ac:dyDescent="0.3">
      <c r="A17" s="1">
        <v>1016</v>
      </c>
      <c r="B17" s="1" t="s">
        <v>42</v>
      </c>
      <c r="C17" s="1">
        <v>45</v>
      </c>
      <c r="D17" s="1" t="s">
        <v>43</v>
      </c>
      <c r="E17" s="1" t="s">
        <v>9</v>
      </c>
      <c r="F17" s="1">
        <v>67169</v>
      </c>
      <c r="G17" s="1" t="s">
        <v>20</v>
      </c>
      <c r="H17" s="1">
        <v>8009065215</v>
      </c>
    </row>
    <row r="18" spans="1:8" x14ac:dyDescent="0.3">
      <c r="A18" s="1">
        <v>1017</v>
      </c>
      <c r="B18" s="1" t="s">
        <v>44</v>
      </c>
      <c r="C18" s="1">
        <v>22</v>
      </c>
      <c r="D18" s="1" t="s">
        <v>45</v>
      </c>
      <c r="E18" s="1" t="s">
        <v>12</v>
      </c>
      <c r="F18" s="1">
        <v>21351</v>
      </c>
      <c r="G18" s="1" t="s">
        <v>24</v>
      </c>
      <c r="H18" s="1">
        <v>8016298128</v>
      </c>
    </row>
    <row r="19" spans="1:8" x14ac:dyDescent="0.3">
      <c r="A19" s="1">
        <v>1018</v>
      </c>
      <c r="B19" s="1" t="s">
        <v>46</v>
      </c>
      <c r="C19" s="1">
        <v>38</v>
      </c>
      <c r="D19" s="1" t="s">
        <v>47</v>
      </c>
      <c r="E19" s="1" t="s">
        <v>15</v>
      </c>
      <c r="F19" s="1">
        <v>21799</v>
      </c>
      <c r="G19" s="1" t="s">
        <v>27</v>
      </c>
      <c r="H19" s="1">
        <v>9444306078</v>
      </c>
    </row>
    <row r="20" spans="1:8" x14ac:dyDescent="0.3">
      <c r="A20" s="1">
        <v>1019</v>
      </c>
      <c r="B20" s="1" t="s">
        <v>48</v>
      </c>
      <c r="C20" s="1">
        <v>25</v>
      </c>
      <c r="D20" s="1" t="s">
        <v>49</v>
      </c>
      <c r="E20" s="1" t="s">
        <v>19</v>
      </c>
      <c r="F20" s="1">
        <v>42165</v>
      </c>
      <c r="G20" s="1" t="s">
        <v>10</v>
      </c>
      <c r="H20" s="1">
        <v>8788867810</v>
      </c>
    </row>
    <row r="21" spans="1:8" x14ac:dyDescent="0.3">
      <c r="A21" s="1">
        <v>1020</v>
      </c>
      <c r="B21" s="1" t="s">
        <v>50</v>
      </c>
      <c r="C21" s="1">
        <v>21</v>
      </c>
      <c r="D21" s="1" t="s">
        <v>51</v>
      </c>
      <c r="E21" s="1" t="s">
        <v>23</v>
      </c>
      <c r="F21" s="1">
        <v>24533</v>
      </c>
      <c r="G21" s="1" t="s">
        <v>13</v>
      </c>
      <c r="H21" s="1">
        <v>9890058612</v>
      </c>
    </row>
    <row r="22" spans="1:8" x14ac:dyDescent="0.3">
      <c r="A22" s="1">
        <v>1021</v>
      </c>
      <c r="B22" s="1" t="s">
        <v>52</v>
      </c>
      <c r="C22" s="1">
        <v>30</v>
      </c>
      <c r="D22" s="1" t="s">
        <v>53</v>
      </c>
      <c r="E22" s="1" t="s">
        <v>9</v>
      </c>
      <c r="F22" s="1">
        <v>35804</v>
      </c>
      <c r="G22" s="1" t="s">
        <v>16</v>
      </c>
      <c r="H22" s="1">
        <v>9884258935</v>
      </c>
    </row>
    <row r="23" spans="1:8" x14ac:dyDescent="0.3">
      <c r="A23" s="1">
        <v>1022</v>
      </c>
      <c r="B23" s="1" t="s">
        <v>54</v>
      </c>
      <c r="C23" s="1">
        <v>47</v>
      </c>
      <c r="D23" s="16">
        <v>44897</v>
      </c>
      <c r="E23" s="1" t="s">
        <v>12</v>
      </c>
      <c r="F23" s="1">
        <v>33233</v>
      </c>
      <c r="G23" s="1" t="s">
        <v>20</v>
      </c>
      <c r="H23" s="1">
        <v>9314911702</v>
      </c>
    </row>
    <row r="24" spans="1:8" x14ac:dyDescent="0.3">
      <c r="A24" s="1">
        <v>1023</v>
      </c>
      <c r="B24" s="1" t="s">
        <v>55</v>
      </c>
      <c r="C24" s="1">
        <v>30</v>
      </c>
      <c r="D24" s="1" t="s">
        <v>56</v>
      </c>
      <c r="E24" s="1"/>
      <c r="F24" s="1">
        <v>34928</v>
      </c>
      <c r="G24" s="1" t="s">
        <v>24</v>
      </c>
      <c r="H24" s="1">
        <v>8100189727</v>
      </c>
    </row>
    <row r="25" spans="1:8" x14ac:dyDescent="0.3">
      <c r="A25" s="1">
        <v>1024</v>
      </c>
      <c r="B25" s="1" t="s">
        <v>57</v>
      </c>
      <c r="C25" s="1">
        <v>32</v>
      </c>
      <c r="D25" s="16">
        <v>45087</v>
      </c>
      <c r="E25" s="1" t="s">
        <v>19</v>
      </c>
      <c r="F25" s="1">
        <v>32832</v>
      </c>
      <c r="G25" s="1" t="s">
        <v>27</v>
      </c>
      <c r="H25" s="1">
        <v>8008580293</v>
      </c>
    </row>
    <row r="26" spans="1:8" x14ac:dyDescent="0.3">
      <c r="A26" s="1">
        <v>1025</v>
      </c>
      <c r="B26" s="1" t="s">
        <v>58</v>
      </c>
      <c r="C26" s="1">
        <v>44</v>
      </c>
      <c r="D26" s="1" t="s">
        <v>59</v>
      </c>
      <c r="E26" s="1" t="s">
        <v>23</v>
      </c>
      <c r="F26" s="1">
        <v>45840</v>
      </c>
      <c r="G26" s="1" t="s">
        <v>10</v>
      </c>
      <c r="H26" s="1">
        <v>9847967631</v>
      </c>
    </row>
    <row r="27" spans="1:8" x14ac:dyDescent="0.3">
      <c r="A27" s="1">
        <v>1026</v>
      </c>
      <c r="B27" s="1" t="s">
        <v>60</v>
      </c>
      <c r="C27" s="1">
        <v>63</v>
      </c>
      <c r="D27" s="16">
        <v>45087</v>
      </c>
      <c r="E27" s="1" t="s">
        <v>9</v>
      </c>
      <c r="F27" s="1">
        <v>67772</v>
      </c>
      <c r="G27" s="1" t="s">
        <v>13</v>
      </c>
      <c r="H27" s="1">
        <v>9647925363</v>
      </c>
    </row>
    <row r="28" spans="1:8" x14ac:dyDescent="0.3">
      <c r="A28" s="1">
        <v>1027</v>
      </c>
      <c r="B28" s="1" t="s">
        <v>61</v>
      </c>
      <c r="C28" s="1">
        <v>54</v>
      </c>
      <c r="D28" s="1" t="s">
        <v>62</v>
      </c>
      <c r="E28" s="1" t="s">
        <v>12</v>
      </c>
      <c r="F28" s="1">
        <v>31891</v>
      </c>
      <c r="G28" s="1" t="s">
        <v>16</v>
      </c>
      <c r="H28" s="1">
        <v>9749243756</v>
      </c>
    </row>
    <row r="29" spans="1:8" x14ac:dyDescent="0.3">
      <c r="A29" s="1">
        <v>1028</v>
      </c>
      <c r="B29" s="1" t="s">
        <v>63</v>
      </c>
      <c r="C29" s="1">
        <v>58</v>
      </c>
      <c r="D29" s="16">
        <v>44258</v>
      </c>
      <c r="E29" s="1" t="s">
        <v>15</v>
      </c>
      <c r="F29" s="1">
        <v>33567</v>
      </c>
      <c r="G29" s="1" t="s">
        <v>20</v>
      </c>
      <c r="H29" s="1">
        <v>9005929955</v>
      </c>
    </row>
    <row r="30" spans="1:8" x14ac:dyDescent="0.3">
      <c r="A30" s="1">
        <v>1029</v>
      </c>
      <c r="B30" s="1" t="s">
        <v>64</v>
      </c>
      <c r="C30" s="1">
        <v>21</v>
      </c>
      <c r="D30" s="16">
        <v>44471</v>
      </c>
      <c r="E30" s="1"/>
      <c r="F30" s="1">
        <v>39588</v>
      </c>
      <c r="G30" s="1" t="s">
        <v>24</v>
      </c>
      <c r="H30" s="1">
        <v>9009246830</v>
      </c>
    </row>
    <row r="31" spans="1:8" x14ac:dyDescent="0.3">
      <c r="A31" s="1">
        <v>1030</v>
      </c>
      <c r="B31" s="1" t="s">
        <v>65</v>
      </c>
      <c r="C31" s="1">
        <v>28</v>
      </c>
      <c r="D31" s="16">
        <v>43867</v>
      </c>
      <c r="E31" s="1" t="s">
        <v>23</v>
      </c>
      <c r="F31" s="1">
        <v>32281</v>
      </c>
      <c r="G31" s="1" t="s">
        <v>27</v>
      </c>
      <c r="H31" s="1">
        <v>9659363386</v>
      </c>
    </row>
    <row r="32" spans="1:8" x14ac:dyDescent="0.3">
      <c r="A32" s="1">
        <v>1031</v>
      </c>
      <c r="B32" s="1" t="s">
        <v>66</v>
      </c>
      <c r="C32" s="1">
        <v>38</v>
      </c>
      <c r="D32" s="16">
        <v>44084</v>
      </c>
      <c r="E32" s="1" t="s">
        <v>9</v>
      </c>
      <c r="F32" s="1">
        <v>39112</v>
      </c>
      <c r="G32" s="1" t="s">
        <v>10</v>
      </c>
      <c r="H32" s="1">
        <v>8122257040</v>
      </c>
    </row>
    <row r="33" spans="1:8" x14ac:dyDescent="0.3">
      <c r="A33" s="1">
        <v>1032</v>
      </c>
      <c r="B33" s="1" t="s">
        <v>67</v>
      </c>
      <c r="C33" s="1">
        <v>47</v>
      </c>
      <c r="D33" s="1" t="s">
        <v>68</v>
      </c>
      <c r="E33" s="1" t="s">
        <v>12</v>
      </c>
      <c r="F33" s="1">
        <v>36136</v>
      </c>
      <c r="G33" s="1" t="s">
        <v>13</v>
      </c>
      <c r="H33" s="1">
        <v>8662114865</v>
      </c>
    </row>
    <row r="34" spans="1:8" x14ac:dyDescent="0.3">
      <c r="A34" s="1">
        <v>1033</v>
      </c>
      <c r="B34" s="1" t="s">
        <v>69</v>
      </c>
      <c r="C34" s="1">
        <v>26</v>
      </c>
      <c r="D34" s="16">
        <v>44415</v>
      </c>
      <c r="E34" s="1" t="s">
        <v>15</v>
      </c>
      <c r="F34" s="1">
        <v>45357</v>
      </c>
      <c r="G34" s="1" t="s">
        <v>16</v>
      </c>
      <c r="H34" s="1">
        <v>8559761704</v>
      </c>
    </row>
    <row r="35" spans="1:8" x14ac:dyDescent="0.3">
      <c r="A35" s="1">
        <v>1034</v>
      </c>
      <c r="B35" s="1" t="s">
        <v>70</v>
      </c>
      <c r="C35" s="1">
        <v>38</v>
      </c>
      <c r="D35" s="16">
        <v>43932</v>
      </c>
      <c r="E35" s="1" t="s">
        <v>19</v>
      </c>
      <c r="F35" s="1">
        <v>60172</v>
      </c>
      <c r="G35" s="1" t="s">
        <v>20</v>
      </c>
      <c r="H35" s="1">
        <v>9935798637</v>
      </c>
    </row>
    <row r="36" spans="1:8" x14ac:dyDescent="0.3">
      <c r="A36" s="1">
        <v>1035</v>
      </c>
      <c r="B36" s="1" t="s">
        <v>71</v>
      </c>
      <c r="C36" s="1">
        <v>27</v>
      </c>
      <c r="D36" s="16">
        <v>44081</v>
      </c>
      <c r="E36" s="1" t="s">
        <v>23</v>
      </c>
      <c r="F36" s="1">
        <v>27381</v>
      </c>
      <c r="G36" s="1" t="s">
        <v>24</v>
      </c>
      <c r="H36" s="1">
        <v>9854054426</v>
      </c>
    </row>
    <row r="37" spans="1:8" x14ac:dyDescent="0.3">
      <c r="A37" s="1">
        <v>1036</v>
      </c>
      <c r="B37" s="1" t="s">
        <v>72</v>
      </c>
      <c r="C37" s="1">
        <v>18</v>
      </c>
      <c r="D37" s="16">
        <v>43533</v>
      </c>
      <c r="E37" s="1" t="s">
        <v>9</v>
      </c>
      <c r="F37" s="1">
        <v>45648</v>
      </c>
      <c r="G37" s="1" t="s">
        <v>27</v>
      </c>
      <c r="H37" s="1">
        <v>8552451243</v>
      </c>
    </row>
    <row r="38" spans="1:8" x14ac:dyDescent="0.3">
      <c r="A38" s="1">
        <v>1037</v>
      </c>
      <c r="B38" s="1" t="s">
        <v>73</v>
      </c>
      <c r="C38" s="1">
        <v>24</v>
      </c>
      <c r="D38" s="16">
        <v>44208</v>
      </c>
      <c r="E38" s="1"/>
      <c r="F38" s="1">
        <v>57287</v>
      </c>
      <c r="G38" s="1" t="s">
        <v>10</v>
      </c>
      <c r="H38" s="1">
        <v>9383008015</v>
      </c>
    </row>
    <row r="39" spans="1:8" x14ac:dyDescent="0.3">
      <c r="A39" s="1">
        <v>1038</v>
      </c>
      <c r="B39" s="1" t="s">
        <v>74</v>
      </c>
      <c r="C39" s="1">
        <v>63</v>
      </c>
      <c r="D39" s="1" t="s">
        <v>75</v>
      </c>
      <c r="E39" s="1" t="s">
        <v>15</v>
      </c>
      <c r="F39" s="1">
        <v>32805</v>
      </c>
      <c r="G39" s="1" t="s">
        <v>13</v>
      </c>
      <c r="H39" s="1">
        <v>8285797304</v>
      </c>
    </row>
    <row r="40" spans="1:8" x14ac:dyDescent="0.3">
      <c r="A40" s="1">
        <v>1039</v>
      </c>
      <c r="B40" s="1" t="s">
        <v>8</v>
      </c>
      <c r="C40" s="1">
        <v>19</v>
      </c>
      <c r="D40" s="1" t="s">
        <v>76</v>
      </c>
      <c r="E40" s="1" t="s">
        <v>19</v>
      </c>
      <c r="F40" s="1">
        <v>60459</v>
      </c>
      <c r="G40" s="1" t="s">
        <v>16</v>
      </c>
      <c r="H40" s="1">
        <v>8210671102</v>
      </c>
    </row>
    <row r="41" spans="1:8" x14ac:dyDescent="0.3">
      <c r="A41" s="1">
        <v>1040</v>
      </c>
      <c r="B41" s="1" t="s">
        <v>11</v>
      </c>
      <c r="C41" s="1">
        <v>39</v>
      </c>
      <c r="D41" s="16">
        <v>44775</v>
      </c>
      <c r="E41" s="1" t="s">
        <v>23</v>
      </c>
      <c r="F41" s="1">
        <v>37505</v>
      </c>
      <c r="G41" s="1" t="s">
        <v>20</v>
      </c>
      <c r="H41" s="1">
        <v>9754030766</v>
      </c>
    </row>
    <row r="42" spans="1:8" x14ac:dyDescent="0.3">
      <c r="A42" s="1">
        <v>1041</v>
      </c>
      <c r="B42" s="1" t="s">
        <v>14</v>
      </c>
      <c r="C42" s="1">
        <v>62</v>
      </c>
      <c r="D42" s="16">
        <v>44108</v>
      </c>
      <c r="E42" s="1" t="s">
        <v>9</v>
      </c>
      <c r="F42" s="1">
        <v>23368</v>
      </c>
      <c r="G42" s="1" t="s">
        <v>24</v>
      </c>
      <c r="H42" s="1">
        <v>8898155945</v>
      </c>
    </row>
    <row r="43" spans="1:8" x14ac:dyDescent="0.3">
      <c r="A43" s="1">
        <v>1042</v>
      </c>
      <c r="B43" s="1" t="s">
        <v>17</v>
      </c>
      <c r="C43" s="1">
        <v>43</v>
      </c>
      <c r="D43" s="1" t="s">
        <v>77</v>
      </c>
      <c r="E43" s="1" t="s">
        <v>12</v>
      </c>
      <c r="F43" s="1">
        <v>31658</v>
      </c>
      <c r="G43" s="1" t="s">
        <v>27</v>
      </c>
      <c r="H43" s="1">
        <v>8460344549</v>
      </c>
    </row>
    <row r="44" spans="1:8" x14ac:dyDescent="0.3">
      <c r="A44" s="1">
        <v>1043</v>
      </c>
      <c r="B44" s="1" t="s">
        <v>21</v>
      </c>
      <c r="C44" s="1">
        <v>31</v>
      </c>
      <c r="D44" s="1" t="s">
        <v>78</v>
      </c>
      <c r="E44" s="1"/>
      <c r="F44" s="1">
        <v>42657</v>
      </c>
      <c r="G44" s="1" t="s">
        <v>10</v>
      </c>
      <c r="H44" s="1">
        <v>8554179536</v>
      </c>
    </row>
    <row r="45" spans="1:8" x14ac:dyDescent="0.3">
      <c r="A45" s="1">
        <v>1044</v>
      </c>
      <c r="B45" s="1" t="s">
        <v>25</v>
      </c>
      <c r="C45" s="1">
        <v>59</v>
      </c>
      <c r="D45" s="16">
        <v>44016</v>
      </c>
      <c r="E45" s="1" t="s">
        <v>19</v>
      </c>
      <c r="F45" s="1">
        <v>62829</v>
      </c>
      <c r="G45" s="1" t="s">
        <v>13</v>
      </c>
      <c r="H45" s="1">
        <v>8064782176</v>
      </c>
    </row>
    <row r="46" spans="1:8" x14ac:dyDescent="0.3">
      <c r="A46" s="1">
        <v>1045</v>
      </c>
      <c r="B46" s="1" t="s">
        <v>28</v>
      </c>
      <c r="C46" s="1">
        <v>23</v>
      </c>
      <c r="D46" s="16">
        <v>43750</v>
      </c>
      <c r="E46" s="1"/>
      <c r="F46" s="1">
        <v>63669</v>
      </c>
      <c r="G46" s="1" t="s">
        <v>16</v>
      </c>
      <c r="H46" s="1">
        <v>8684649540</v>
      </c>
    </row>
    <row r="47" spans="1:8" x14ac:dyDescent="0.3">
      <c r="A47" s="1">
        <v>1046</v>
      </c>
      <c r="B47" s="1" t="s">
        <v>30</v>
      </c>
      <c r="C47" s="1">
        <v>64</v>
      </c>
      <c r="D47" s="1" t="s">
        <v>79</v>
      </c>
      <c r="E47" s="1" t="s">
        <v>9</v>
      </c>
      <c r="F47" s="1">
        <v>45281</v>
      </c>
      <c r="G47" s="1" t="s">
        <v>20</v>
      </c>
      <c r="H47" s="1">
        <v>8890617225</v>
      </c>
    </row>
    <row r="48" spans="1:8" x14ac:dyDescent="0.3">
      <c r="A48" s="1">
        <v>1047</v>
      </c>
      <c r="B48" s="1" t="s">
        <v>32</v>
      </c>
      <c r="C48" s="1">
        <v>36</v>
      </c>
      <c r="D48" s="1" t="s">
        <v>80</v>
      </c>
      <c r="E48" s="1" t="s">
        <v>12</v>
      </c>
      <c r="F48" s="1">
        <v>69848</v>
      </c>
      <c r="G48" s="1" t="s">
        <v>24</v>
      </c>
      <c r="H48" s="1">
        <v>8497518826</v>
      </c>
    </row>
    <row r="49" spans="1:8" x14ac:dyDescent="0.3">
      <c r="A49" s="1">
        <v>1048</v>
      </c>
      <c r="B49" s="1" t="s">
        <v>33</v>
      </c>
      <c r="C49" s="1">
        <v>22</v>
      </c>
      <c r="D49" s="16">
        <v>44442</v>
      </c>
      <c r="E49" s="1" t="s">
        <v>15</v>
      </c>
      <c r="F49" s="1">
        <v>49894</v>
      </c>
      <c r="G49" s="1" t="s">
        <v>27</v>
      </c>
      <c r="H49" s="1">
        <v>8472841238</v>
      </c>
    </row>
    <row r="50" spans="1:8" x14ac:dyDescent="0.3">
      <c r="A50" s="1">
        <v>1049</v>
      </c>
      <c r="B50" s="1" t="s">
        <v>35</v>
      </c>
      <c r="C50" s="1">
        <v>38</v>
      </c>
      <c r="D50" s="1" t="s">
        <v>81</v>
      </c>
      <c r="E50" s="1" t="s">
        <v>19</v>
      </c>
      <c r="F50" s="1">
        <v>40839</v>
      </c>
      <c r="G50" s="1" t="s">
        <v>10</v>
      </c>
      <c r="H50" s="1">
        <v>8713180440</v>
      </c>
    </row>
    <row r="51" spans="1:8" x14ac:dyDescent="0.3">
      <c r="A51" s="1">
        <v>1050</v>
      </c>
      <c r="B51" s="1" t="s">
        <v>36</v>
      </c>
      <c r="C51" s="1">
        <v>56</v>
      </c>
      <c r="D51" s="16">
        <v>44420</v>
      </c>
      <c r="E51" s="1" t="s">
        <v>23</v>
      </c>
      <c r="F51" s="1">
        <v>25790</v>
      </c>
      <c r="G51" s="1" t="s">
        <v>13</v>
      </c>
      <c r="H51" s="1">
        <v>9550842050</v>
      </c>
    </row>
    <row r="52" spans="1:8" x14ac:dyDescent="0.3">
      <c r="A52" s="1">
        <v>1051</v>
      </c>
      <c r="B52" s="1" t="s">
        <v>38</v>
      </c>
      <c r="C52" s="1">
        <v>47</v>
      </c>
      <c r="D52" s="1" t="s">
        <v>82</v>
      </c>
      <c r="E52" s="1"/>
      <c r="F52" s="1">
        <v>25878</v>
      </c>
      <c r="G52" s="1" t="s">
        <v>16</v>
      </c>
      <c r="H52" s="1">
        <v>8652496713</v>
      </c>
    </row>
    <row r="53" spans="1:8" x14ac:dyDescent="0.3">
      <c r="A53" s="1">
        <v>1052</v>
      </c>
      <c r="B53" s="1" t="s">
        <v>39</v>
      </c>
      <c r="C53" s="1">
        <v>42</v>
      </c>
      <c r="D53" s="1" t="s">
        <v>83</v>
      </c>
      <c r="E53" s="1" t="s">
        <v>12</v>
      </c>
      <c r="F53" s="1">
        <v>51164</v>
      </c>
      <c r="G53" s="1" t="s">
        <v>20</v>
      </c>
      <c r="H53" s="1">
        <v>9670495683</v>
      </c>
    </row>
    <row r="54" spans="1:8" x14ac:dyDescent="0.3">
      <c r="A54" s="1">
        <v>1053</v>
      </c>
      <c r="B54" s="1" t="s">
        <v>40</v>
      </c>
      <c r="C54" s="1">
        <v>33</v>
      </c>
      <c r="D54" s="1" t="s">
        <v>84</v>
      </c>
      <c r="E54" s="1" t="s">
        <v>15</v>
      </c>
      <c r="F54" s="1">
        <v>23950</v>
      </c>
      <c r="G54" s="1" t="s">
        <v>24</v>
      </c>
      <c r="H54" s="1">
        <v>9402027533</v>
      </c>
    </row>
    <row r="55" spans="1:8" x14ac:dyDescent="0.3">
      <c r="A55" s="1">
        <v>1054</v>
      </c>
      <c r="B55" s="1" t="s">
        <v>42</v>
      </c>
      <c r="C55" s="1">
        <v>54</v>
      </c>
      <c r="D55" s="1" t="s">
        <v>85</v>
      </c>
      <c r="E55" s="1" t="s">
        <v>19</v>
      </c>
      <c r="F55" s="1">
        <v>57731</v>
      </c>
      <c r="G55" s="1" t="s">
        <v>27</v>
      </c>
      <c r="H55" s="1">
        <v>8090024500</v>
      </c>
    </row>
    <row r="56" spans="1:8" x14ac:dyDescent="0.3">
      <c r="A56" s="1">
        <v>1055</v>
      </c>
      <c r="B56" s="1" t="s">
        <v>44</v>
      </c>
      <c r="C56" s="1">
        <v>50</v>
      </c>
      <c r="D56" s="1" t="s">
        <v>86</v>
      </c>
      <c r="E56" s="1" t="s">
        <v>23</v>
      </c>
      <c r="F56" s="1">
        <v>37553</v>
      </c>
      <c r="G56" s="1" t="s">
        <v>10</v>
      </c>
      <c r="H56" s="1">
        <v>8465341266</v>
      </c>
    </row>
    <row r="57" spans="1:8" x14ac:dyDescent="0.3">
      <c r="A57" s="1">
        <v>1056</v>
      </c>
      <c r="B57" s="1" t="s">
        <v>46</v>
      </c>
      <c r="C57" s="1">
        <v>41</v>
      </c>
      <c r="D57" s="1" t="s">
        <v>87</v>
      </c>
      <c r="E57" s="1" t="s">
        <v>9</v>
      </c>
      <c r="F57" s="1">
        <v>23189</v>
      </c>
      <c r="G57" s="1" t="s">
        <v>13</v>
      </c>
      <c r="H57" s="1">
        <v>9658584008</v>
      </c>
    </row>
    <row r="58" spans="1:8" x14ac:dyDescent="0.3">
      <c r="A58" s="1">
        <v>1057</v>
      </c>
      <c r="B58" s="1" t="s">
        <v>48</v>
      </c>
      <c r="C58" s="1">
        <v>27</v>
      </c>
      <c r="D58" s="16">
        <v>43776</v>
      </c>
      <c r="E58" s="1" t="s">
        <v>12</v>
      </c>
      <c r="F58" s="1">
        <v>50079</v>
      </c>
      <c r="G58" s="1" t="s">
        <v>16</v>
      </c>
      <c r="H58" s="1">
        <v>8701199135</v>
      </c>
    </row>
    <row r="59" spans="1:8" x14ac:dyDescent="0.3">
      <c r="A59" s="1">
        <v>1058</v>
      </c>
      <c r="B59" s="1" t="s">
        <v>50</v>
      </c>
      <c r="C59" s="1">
        <v>48</v>
      </c>
      <c r="D59" s="1" t="s">
        <v>88</v>
      </c>
      <c r="E59" s="1" t="s">
        <v>15</v>
      </c>
      <c r="F59" s="1">
        <v>24135</v>
      </c>
      <c r="G59" s="1" t="s">
        <v>20</v>
      </c>
      <c r="H59" s="1">
        <v>9349839075</v>
      </c>
    </row>
    <row r="60" spans="1:8" x14ac:dyDescent="0.3">
      <c r="A60" s="1">
        <v>1059</v>
      </c>
      <c r="B60" s="1" t="s">
        <v>52</v>
      </c>
      <c r="C60" s="1">
        <v>30</v>
      </c>
      <c r="D60" s="1" t="s">
        <v>89</v>
      </c>
      <c r="E60" s="1" t="s">
        <v>19</v>
      </c>
      <c r="F60" s="1">
        <v>23934</v>
      </c>
      <c r="G60" s="1" t="s">
        <v>24</v>
      </c>
      <c r="H60" s="1">
        <v>9138113583</v>
      </c>
    </row>
    <row r="61" spans="1:8" x14ac:dyDescent="0.3">
      <c r="A61" s="1">
        <v>1060</v>
      </c>
      <c r="B61" s="1" t="s">
        <v>54</v>
      </c>
      <c r="C61" s="1">
        <v>28</v>
      </c>
      <c r="D61" s="1" t="s">
        <v>90</v>
      </c>
      <c r="E61" s="1" t="s">
        <v>23</v>
      </c>
      <c r="F61" s="1">
        <v>68711</v>
      </c>
      <c r="G61" s="1" t="s">
        <v>27</v>
      </c>
      <c r="H61" s="1">
        <v>9886763358</v>
      </c>
    </row>
    <row r="62" spans="1:8" x14ac:dyDescent="0.3">
      <c r="A62" s="1">
        <v>1061</v>
      </c>
      <c r="B62" s="1" t="s">
        <v>55</v>
      </c>
      <c r="C62" s="1">
        <v>30</v>
      </c>
      <c r="D62" s="1" t="s">
        <v>91</v>
      </c>
      <c r="E62" s="1" t="s">
        <v>9</v>
      </c>
      <c r="F62" s="1">
        <v>30067</v>
      </c>
      <c r="G62" s="1" t="s">
        <v>10</v>
      </c>
      <c r="H62" s="1">
        <v>8116085677</v>
      </c>
    </row>
    <row r="63" spans="1:8" x14ac:dyDescent="0.3">
      <c r="A63" s="1">
        <v>1062</v>
      </c>
      <c r="B63" s="1" t="s">
        <v>57</v>
      </c>
      <c r="C63" s="1">
        <v>43</v>
      </c>
      <c r="D63" s="16">
        <v>44896</v>
      </c>
      <c r="E63" s="1"/>
      <c r="F63" s="1">
        <v>36604</v>
      </c>
      <c r="G63" s="1" t="s">
        <v>13</v>
      </c>
      <c r="H63" s="1">
        <v>8076675684</v>
      </c>
    </row>
    <row r="64" spans="1:8" x14ac:dyDescent="0.3">
      <c r="A64" s="1">
        <v>1063</v>
      </c>
      <c r="B64" s="1" t="s">
        <v>58</v>
      </c>
      <c r="C64" s="1">
        <v>39</v>
      </c>
      <c r="D64" s="1" t="s">
        <v>92</v>
      </c>
      <c r="E64" s="1" t="s">
        <v>15</v>
      </c>
      <c r="F64" s="1">
        <v>29717</v>
      </c>
      <c r="G64" s="1" t="s">
        <v>16</v>
      </c>
      <c r="H64" s="1">
        <v>8988189673</v>
      </c>
    </row>
    <row r="65" spans="1:8" x14ac:dyDescent="0.3">
      <c r="A65" s="1">
        <v>1064</v>
      </c>
      <c r="B65" s="1" t="s">
        <v>60</v>
      </c>
      <c r="C65" s="1">
        <v>59</v>
      </c>
      <c r="D65" s="16">
        <v>45150</v>
      </c>
      <c r="E65" s="1" t="s">
        <v>19</v>
      </c>
      <c r="F65" s="1">
        <v>39949</v>
      </c>
      <c r="G65" s="1" t="s">
        <v>20</v>
      </c>
      <c r="H65" s="1">
        <v>9292710949</v>
      </c>
    </row>
    <row r="66" spans="1:8" x14ac:dyDescent="0.3">
      <c r="A66" s="1">
        <v>1065</v>
      </c>
      <c r="B66" s="1" t="s">
        <v>61</v>
      </c>
      <c r="C66" s="1">
        <v>52</v>
      </c>
      <c r="D66" s="1" t="s">
        <v>93</v>
      </c>
      <c r="E66" s="1" t="s">
        <v>23</v>
      </c>
      <c r="F66" s="1">
        <v>27482</v>
      </c>
      <c r="G66" s="1" t="s">
        <v>24</v>
      </c>
      <c r="H66" s="1">
        <v>8588490084</v>
      </c>
    </row>
    <row r="67" spans="1:8" x14ac:dyDescent="0.3">
      <c r="A67" s="1">
        <v>1066</v>
      </c>
      <c r="B67" s="1" t="s">
        <v>63</v>
      </c>
      <c r="C67" s="1">
        <v>56</v>
      </c>
      <c r="D67" s="1" t="s">
        <v>94</v>
      </c>
      <c r="E67" s="1" t="s">
        <v>9</v>
      </c>
      <c r="F67" s="1">
        <v>67806</v>
      </c>
      <c r="G67" s="1" t="s">
        <v>27</v>
      </c>
      <c r="H67" s="1">
        <v>8756644530</v>
      </c>
    </row>
    <row r="68" spans="1:8" x14ac:dyDescent="0.3">
      <c r="A68" s="1">
        <v>1067</v>
      </c>
      <c r="B68" s="1" t="s">
        <v>64</v>
      </c>
      <c r="C68" s="1">
        <v>52</v>
      </c>
      <c r="D68" s="1" t="s">
        <v>95</v>
      </c>
      <c r="E68" s="1" t="s">
        <v>12</v>
      </c>
      <c r="F68" s="1">
        <v>32878</v>
      </c>
      <c r="G68" s="1" t="s">
        <v>10</v>
      </c>
      <c r="H68" s="1">
        <v>9122189072</v>
      </c>
    </row>
    <row r="69" spans="1:8" x14ac:dyDescent="0.3">
      <c r="A69" s="1">
        <v>1068</v>
      </c>
      <c r="B69" s="1" t="s">
        <v>65</v>
      </c>
      <c r="C69" s="1">
        <v>34</v>
      </c>
      <c r="D69" s="16">
        <v>43647</v>
      </c>
      <c r="E69" s="1" t="s">
        <v>15</v>
      </c>
      <c r="F69" s="1">
        <v>41830</v>
      </c>
      <c r="G69" s="1" t="s">
        <v>13</v>
      </c>
      <c r="H69" s="1">
        <v>9941461000</v>
      </c>
    </row>
    <row r="70" spans="1:8" x14ac:dyDescent="0.3">
      <c r="A70" s="1">
        <v>1069</v>
      </c>
      <c r="B70" s="1" t="s">
        <v>66</v>
      </c>
      <c r="C70" s="1">
        <v>53</v>
      </c>
      <c r="D70" s="16">
        <v>43772</v>
      </c>
      <c r="E70" s="1" t="s">
        <v>19</v>
      </c>
      <c r="F70" s="1">
        <v>46700</v>
      </c>
      <c r="G70" s="1" t="s">
        <v>16</v>
      </c>
      <c r="H70" s="1">
        <v>9404249566</v>
      </c>
    </row>
    <row r="71" spans="1:8" x14ac:dyDescent="0.3">
      <c r="A71" s="1">
        <v>1070</v>
      </c>
      <c r="B71" s="1" t="s">
        <v>67</v>
      </c>
      <c r="C71" s="1">
        <v>53</v>
      </c>
      <c r="D71" s="1" t="s">
        <v>96</v>
      </c>
      <c r="E71" s="1" t="s">
        <v>23</v>
      </c>
      <c r="F71" s="1">
        <v>60732</v>
      </c>
      <c r="G71" s="1" t="s">
        <v>20</v>
      </c>
      <c r="H71" s="1">
        <v>8382092023</v>
      </c>
    </row>
    <row r="72" spans="1:8" x14ac:dyDescent="0.3">
      <c r="A72" s="1">
        <v>1071</v>
      </c>
      <c r="B72" s="1" t="s">
        <v>69</v>
      </c>
      <c r="C72" s="1">
        <v>36</v>
      </c>
      <c r="D72" s="1" t="s">
        <v>97</v>
      </c>
      <c r="E72" s="1" t="s">
        <v>9</v>
      </c>
      <c r="F72" s="1">
        <v>64920</v>
      </c>
      <c r="G72" s="1" t="s">
        <v>24</v>
      </c>
      <c r="H72" s="1">
        <v>9297762344</v>
      </c>
    </row>
    <row r="73" spans="1:8" x14ac:dyDescent="0.3">
      <c r="A73" s="1">
        <v>1072</v>
      </c>
      <c r="B73" s="1" t="s">
        <v>70</v>
      </c>
      <c r="C73" s="1">
        <v>39</v>
      </c>
      <c r="D73" s="1" t="s">
        <v>98</v>
      </c>
      <c r="E73" s="1" t="s">
        <v>12</v>
      </c>
      <c r="F73" s="1">
        <v>63713</v>
      </c>
      <c r="G73" s="1" t="s">
        <v>27</v>
      </c>
      <c r="H73" s="1">
        <v>8691624689</v>
      </c>
    </row>
    <row r="74" spans="1:8" x14ac:dyDescent="0.3">
      <c r="A74" s="1">
        <v>1073</v>
      </c>
      <c r="B74" s="1" t="s">
        <v>71</v>
      </c>
      <c r="C74" s="1">
        <v>24</v>
      </c>
      <c r="D74" s="1" t="s">
        <v>22</v>
      </c>
      <c r="E74" s="1" t="s">
        <v>15</v>
      </c>
      <c r="F74" s="1">
        <v>56331</v>
      </c>
      <c r="G74" s="1" t="s">
        <v>10</v>
      </c>
      <c r="H74" s="1">
        <v>9589325707</v>
      </c>
    </row>
    <row r="75" spans="1:8" x14ac:dyDescent="0.3">
      <c r="A75" s="1">
        <v>1074</v>
      </c>
      <c r="B75" s="1" t="s">
        <v>72</v>
      </c>
      <c r="C75" s="1">
        <v>47</v>
      </c>
      <c r="D75" s="1" t="s">
        <v>99</v>
      </c>
      <c r="E75" s="1" t="s">
        <v>19</v>
      </c>
      <c r="F75" s="1">
        <v>28467</v>
      </c>
      <c r="G75" s="1" t="s">
        <v>13</v>
      </c>
      <c r="H75" s="1">
        <v>8344974091</v>
      </c>
    </row>
    <row r="76" spans="1:8" x14ac:dyDescent="0.3">
      <c r="A76" s="1">
        <v>1075</v>
      </c>
      <c r="B76" s="1" t="s">
        <v>73</v>
      </c>
      <c r="C76" s="1">
        <v>51</v>
      </c>
      <c r="D76" s="1" t="s">
        <v>100</v>
      </c>
      <c r="E76" s="1" t="s">
        <v>23</v>
      </c>
      <c r="F76" s="1">
        <v>31885</v>
      </c>
      <c r="G76" s="1" t="s">
        <v>16</v>
      </c>
      <c r="H76" s="1">
        <v>9621747304</v>
      </c>
    </row>
    <row r="77" spans="1:8" x14ac:dyDescent="0.3">
      <c r="A77" s="1">
        <v>1076</v>
      </c>
      <c r="B77" s="1" t="s">
        <v>74</v>
      </c>
      <c r="C77" s="1">
        <v>52</v>
      </c>
      <c r="D77" s="1" t="s">
        <v>101</v>
      </c>
      <c r="E77" s="1" t="s">
        <v>9</v>
      </c>
      <c r="F77" s="1">
        <v>40493</v>
      </c>
      <c r="G77" s="1" t="s">
        <v>20</v>
      </c>
      <c r="H77" s="1">
        <v>8858304505</v>
      </c>
    </row>
    <row r="78" spans="1:8" x14ac:dyDescent="0.3">
      <c r="A78" s="1">
        <v>1077</v>
      </c>
      <c r="B78" s="1" t="s">
        <v>8</v>
      </c>
      <c r="C78" s="1">
        <v>23</v>
      </c>
      <c r="D78" s="16">
        <v>43717</v>
      </c>
      <c r="E78" s="1" t="s">
        <v>12</v>
      </c>
      <c r="F78" s="1">
        <v>69010</v>
      </c>
      <c r="G78" s="1" t="s">
        <v>24</v>
      </c>
      <c r="H78" s="1">
        <v>8281884627</v>
      </c>
    </row>
    <row r="79" spans="1:8" x14ac:dyDescent="0.3">
      <c r="A79" s="1">
        <v>1078</v>
      </c>
      <c r="B79" s="1" t="s">
        <v>11</v>
      </c>
      <c r="C79" s="1">
        <v>30</v>
      </c>
      <c r="D79" s="16">
        <v>44776</v>
      </c>
      <c r="E79" s="1" t="s">
        <v>15</v>
      </c>
      <c r="F79" s="1">
        <v>26965</v>
      </c>
      <c r="G79" s="1" t="s">
        <v>27</v>
      </c>
      <c r="H79" s="1">
        <v>9904455974</v>
      </c>
    </row>
    <row r="80" spans="1:8" x14ac:dyDescent="0.3">
      <c r="A80" s="1">
        <v>1079</v>
      </c>
      <c r="B80" s="1" t="s">
        <v>14</v>
      </c>
      <c r="C80" s="1">
        <v>46</v>
      </c>
      <c r="D80" s="1" t="s">
        <v>102</v>
      </c>
      <c r="E80" s="1" t="s">
        <v>19</v>
      </c>
      <c r="F80" s="1">
        <v>41420</v>
      </c>
      <c r="G80" s="1" t="s">
        <v>10</v>
      </c>
      <c r="H80" s="1">
        <v>8047089665</v>
      </c>
    </row>
    <row r="81" spans="1:8" x14ac:dyDescent="0.3">
      <c r="A81" s="1">
        <v>1080</v>
      </c>
      <c r="B81" s="1" t="s">
        <v>17</v>
      </c>
      <c r="C81" s="1">
        <v>45</v>
      </c>
      <c r="D81" s="1" t="s">
        <v>103</v>
      </c>
      <c r="E81" s="1" t="s">
        <v>23</v>
      </c>
      <c r="F81" s="1">
        <v>69136</v>
      </c>
      <c r="G81" s="1" t="s">
        <v>13</v>
      </c>
      <c r="H81" s="1">
        <v>9952183106</v>
      </c>
    </row>
    <row r="82" spans="1:8" x14ac:dyDescent="0.3">
      <c r="A82" s="1">
        <v>1081</v>
      </c>
      <c r="B82" s="1" t="s">
        <v>21</v>
      </c>
      <c r="C82" s="1">
        <v>50</v>
      </c>
      <c r="D82" s="1" t="s">
        <v>104</v>
      </c>
      <c r="E82" s="1" t="s">
        <v>9</v>
      </c>
      <c r="F82" s="1">
        <v>32601</v>
      </c>
      <c r="G82" s="1" t="s">
        <v>16</v>
      </c>
      <c r="H82" s="1">
        <v>9417086595</v>
      </c>
    </row>
    <row r="83" spans="1:8" x14ac:dyDescent="0.3">
      <c r="A83" s="1">
        <v>1082</v>
      </c>
      <c r="B83" s="1" t="s">
        <v>25</v>
      </c>
      <c r="C83" s="1">
        <v>19</v>
      </c>
      <c r="D83" s="16">
        <v>45088</v>
      </c>
      <c r="E83" s="1" t="s">
        <v>12</v>
      </c>
      <c r="F83" s="1">
        <v>38380</v>
      </c>
      <c r="G83" s="1" t="s">
        <v>20</v>
      </c>
      <c r="H83" s="1">
        <v>9401508050</v>
      </c>
    </row>
    <row r="84" spans="1:8" x14ac:dyDescent="0.3">
      <c r="A84" s="1">
        <v>1083</v>
      </c>
      <c r="B84" s="1" t="s">
        <v>28</v>
      </c>
      <c r="C84" s="1">
        <v>56</v>
      </c>
      <c r="D84" s="1" t="s">
        <v>105</v>
      </c>
      <c r="E84" s="1" t="s">
        <v>15</v>
      </c>
      <c r="F84" s="1">
        <v>49149</v>
      </c>
      <c r="G84" s="1" t="s">
        <v>24</v>
      </c>
      <c r="H84" s="1">
        <v>9475427443</v>
      </c>
    </row>
    <row r="85" spans="1:8" x14ac:dyDescent="0.3">
      <c r="A85" s="1">
        <v>1084</v>
      </c>
      <c r="B85" s="1" t="s">
        <v>30</v>
      </c>
      <c r="C85" s="1">
        <v>41</v>
      </c>
      <c r="D85" s="1" t="s">
        <v>106</v>
      </c>
      <c r="E85" s="1" t="s">
        <v>19</v>
      </c>
      <c r="F85" s="1">
        <v>58502</v>
      </c>
      <c r="G85" s="1" t="s">
        <v>27</v>
      </c>
      <c r="H85" s="1">
        <v>9015401235</v>
      </c>
    </row>
    <row r="86" spans="1:8" x14ac:dyDescent="0.3">
      <c r="A86" s="1">
        <v>1085</v>
      </c>
      <c r="B86" s="1" t="s">
        <v>32</v>
      </c>
      <c r="C86" s="1">
        <v>64</v>
      </c>
      <c r="D86" s="16">
        <v>44967</v>
      </c>
      <c r="E86" s="1" t="s">
        <v>23</v>
      </c>
      <c r="F86" s="1">
        <v>31779</v>
      </c>
      <c r="G86" s="1" t="s">
        <v>10</v>
      </c>
      <c r="H86" s="1">
        <v>9535791105</v>
      </c>
    </row>
    <row r="87" spans="1:8" x14ac:dyDescent="0.3">
      <c r="A87" s="1">
        <v>1086</v>
      </c>
      <c r="B87" s="1" t="s">
        <v>33</v>
      </c>
      <c r="C87" s="1">
        <v>37</v>
      </c>
      <c r="D87" s="16">
        <v>43775</v>
      </c>
      <c r="E87" s="1" t="s">
        <v>9</v>
      </c>
      <c r="F87" s="1">
        <v>46016</v>
      </c>
      <c r="G87" s="1" t="s">
        <v>13</v>
      </c>
      <c r="H87" s="1">
        <v>9206727762</v>
      </c>
    </row>
    <row r="88" spans="1:8" x14ac:dyDescent="0.3">
      <c r="A88" s="1">
        <v>1087</v>
      </c>
      <c r="B88" s="1" t="s">
        <v>35</v>
      </c>
      <c r="C88" s="1">
        <v>35</v>
      </c>
      <c r="D88" s="16">
        <v>44840</v>
      </c>
      <c r="E88" s="1" t="s">
        <v>12</v>
      </c>
      <c r="F88" s="1">
        <v>26537</v>
      </c>
      <c r="G88" s="1" t="s">
        <v>16</v>
      </c>
      <c r="H88" s="1">
        <v>9693700782</v>
      </c>
    </row>
    <row r="89" spans="1:8" x14ac:dyDescent="0.3">
      <c r="A89" s="1">
        <v>1088</v>
      </c>
      <c r="B89" s="1" t="s">
        <v>36</v>
      </c>
      <c r="C89" s="1">
        <v>19</v>
      </c>
      <c r="D89" s="16">
        <v>45110</v>
      </c>
      <c r="E89" s="1" t="s">
        <v>15</v>
      </c>
      <c r="F89" s="1">
        <v>22811</v>
      </c>
      <c r="G89" s="1" t="s">
        <v>20</v>
      </c>
      <c r="H89" s="1">
        <v>9170643766</v>
      </c>
    </row>
    <row r="90" spans="1:8" x14ac:dyDescent="0.3">
      <c r="A90" s="1">
        <v>1089</v>
      </c>
      <c r="B90" s="1" t="s">
        <v>38</v>
      </c>
      <c r="C90" s="1">
        <v>64</v>
      </c>
      <c r="D90" s="1" t="s">
        <v>107</v>
      </c>
      <c r="E90" s="1" t="s">
        <v>19</v>
      </c>
      <c r="F90" s="1">
        <v>38370</v>
      </c>
      <c r="G90" s="1" t="s">
        <v>24</v>
      </c>
      <c r="H90" s="1">
        <v>9224717289</v>
      </c>
    </row>
    <row r="91" spans="1:8" x14ac:dyDescent="0.3">
      <c r="A91" s="1">
        <v>1090</v>
      </c>
      <c r="B91" s="1" t="s">
        <v>39</v>
      </c>
      <c r="C91" s="1">
        <v>60</v>
      </c>
      <c r="D91" s="1" t="s">
        <v>108</v>
      </c>
      <c r="E91" s="1" t="s">
        <v>23</v>
      </c>
      <c r="F91" s="1">
        <v>53983</v>
      </c>
      <c r="G91" s="1" t="s">
        <v>27</v>
      </c>
      <c r="H91" s="1">
        <v>8032869699</v>
      </c>
    </row>
    <row r="92" spans="1:8" x14ac:dyDescent="0.3">
      <c r="A92" s="1">
        <v>1091</v>
      </c>
      <c r="B92" s="1" t="s">
        <v>40</v>
      </c>
      <c r="C92" s="1">
        <v>30</v>
      </c>
      <c r="D92" s="1" t="s">
        <v>109</v>
      </c>
      <c r="E92" s="1" t="s">
        <v>9</v>
      </c>
      <c r="F92" s="1">
        <v>54137</v>
      </c>
      <c r="G92" s="1" t="s">
        <v>10</v>
      </c>
      <c r="H92" s="1">
        <v>9409194912</v>
      </c>
    </row>
    <row r="93" spans="1:8" x14ac:dyDescent="0.3">
      <c r="A93" s="1">
        <v>1092</v>
      </c>
      <c r="B93" s="1" t="s">
        <v>42</v>
      </c>
      <c r="C93" s="1">
        <v>32</v>
      </c>
      <c r="D93" s="1" t="s">
        <v>110</v>
      </c>
      <c r="E93" s="1" t="s">
        <v>12</v>
      </c>
      <c r="F93" s="1">
        <v>58899</v>
      </c>
      <c r="G93" s="1" t="s">
        <v>13</v>
      </c>
      <c r="H93" s="1">
        <v>9190465034</v>
      </c>
    </row>
    <row r="94" spans="1:8" x14ac:dyDescent="0.3">
      <c r="A94" s="1">
        <v>1093</v>
      </c>
      <c r="B94" s="1" t="s">
        <v>44</v>
      </c>
      <c r="C94" s="1">
        <v>30</v>
      </c>
      <c r="D94" s="1" t="s">
        <v>111</v>
      </c>
      <c r="E94" s="1" t="s">
        <v>15</v>
      </c>
      <c r="F94" s="1">
        <v>52705</v>
      </c>
      <c r="G94" s="1" t="s">
        <v>16</v>
      </c>
      <c r="H94" s="1">
        <v>8965689033</v>
      </c>
    </row>
    <row r="95" spans="1:8" x14ac:dyDescent="0.3">
      <c r="A95" s="1">
        <v>1094</v>
      </c>
      <c r="B95" s="1" t="s">
        <v>46</v>
      </c>
      <c r="C95" s="1">
        <v>32</v>
      </c>
      <c r="D95" s="16">
        <v>43834</v>
      </c>
      <c r="E95" s="1" t="s">
        <v>19</v>
      </c>
      <c r="F95" s="1">
        <v>62372</v>
      </c>
      <c r="G95" s="1" t="s">
        <v>20</v>
      </c>
      <c r="H95" s="1">
        <v>9454605082</v>
      </c>
    </row>
    <row r="96" spans="1:8" x14ac:dyDescent="0.3">
      <c r="A96" s="1">
        <v>1095</v>
      </c>
      <c r="B96" s="1" t="s">
        <v>48</v>
      </c>
      <c r="C96" s="1">
        <v>44</v>
      </c>
      <c r="D96" s="16">
        <v>44806</v>
      </c>
      <c r="E96" s="1" t="s">
        <v>23</v>
      </c>
      <c r="F96" s="1">
        <v>67981</v>
      </c>
      <c r="G96" s="1" t="s">
        <v>24</v>
      </c>
      <c r="H96" s="1">
        <v>9190101044</v>
      </c>
    </row>
    <row r="97" spans="1:8" x14ac:dyDescent="0.3">
      <c r="A97" s="1">
        <v>1096</v>
      </c>
      <c r="B97" s="1" t="s">
        <v>50</v>
      </c>
      <c r="C97" s="1">
        <v>29</v>
      </c>
      <c r="D97" s="1" t="s">
        <v>112</v>
      </c>
      <c r="E97" s="1" t="s">
        <v>9</v>
      </c>
      <c r="F97" s="1">
        <v>63801</v>
      </c>
      <c r="G97" s="1" t="s">
        <v>27</v>
      </c>
      <c r="H97" s="1">
        <v>8599236851</v>
      </c>
    </row>
    <row r="98" spans="1:8" x14ac:dyDescent="0.3">
      <c r="A98" s="1">
        <v>1097</v>
      </c>
      <c r="B98" s="1" t="s">
        <v>52</v>
      </c>
      <c r="C98" s="1">
        <v>30</v>
      </c>
      <c r="D98" s="1" t="s">
        <v>113</v>
      </c>
      <c r="E98" s="1" t="s">
        <v>12</v>
      </c>
      <c r="F98" s="1">
        <v>37059</v>
      </c>
      <c r="G98" s="1" t="s">
        <v>10</v>
      </c>
      <c r="H98" s="1">
        <v>9327002554</v>
      </c>
    </row>
    <row r="99" spans="1:8" x14ac:dyDescent="0.3">
      <c r="A99" s="1">
        <v>1098</v>
      </c>
      <c r="B99" s="1" t="s">
        <v>54</v>
      </c>
      <c r="C99" s="1">
        <v>32</v>
      </c>
      <c r="D99" s="1" t="s">
        <v>114</v>
      </c>
      <c r="E99" s="1" t="s">
        <v>15</v>
      </c>
      <c r="F99" s="1">
        <v>55653</v>
      </c>
      <c r="G99" s="1" t="s">
        <v>13</v>
      </c>
      <c r="H99" s="1">
        <v>8342008192</v>
      </c>
    </row>
    <row r="100" spans="1:8" x14ac:dyDescent="0.3">
      <c r="A100" s="1">
        <v>1099</v>
      </c>
      <c r="B100" s="1" t="s">
        <v>55</v>
      </c>
      <c r="C100" s="1">
        <v>49</v>
      </c>
      <c r="D100" s="1" t="s">
        <v>115</v>
      </c>
      <c r="E100" s="1" t="s">
        <v>19</v>
      </c>
      <c r="F100" s="1">
        <v>28465</v>
      </c>
      <c r="G100" s="1" t="s">
        <v>16</v>
      </c>
      <c r="H100" s="1">
        <v>8842494426</v>
      </c>
    </row>
    <row r="101" spans="1:8" x14ac:dyDescent="0.3">
      <c r="A101" s="1">
        <v>1100</v>
      </c>
      <c r="B101" s="1" t="s">
        <v>57</v>
      </c>
      <c r="C101" s="1">
        <v>46</v>
      </c>
      <c r="D101" s="1" t="s">
        <v>116</v>
      </c>
      <c r="E101" s="1" t="s">
        <v>23</v>
      </c>
      <c r="F101" s="1">
        <v>33260</v>
      </c>
      <c r="G101" s="1" t="s">
        <v>20</v>
      </c>
      <c r="H101" s="1">
        <v>9558051689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2"/>
  <sheetViews>
    <sheetView workbookViewId="0">
      <selection activeCell="N11" sqref="N11"/>
    </sheetView>
  </sheetViews>
  <sheetFormatPr defaultRowHeight="14.4" x14ac:dyDescent="0.3"/>
  <cols>
    <col min="1" max="1" width="7.6640625" customWidth="1"/>
    <col min="2" max="2" width="22.6640625" customWidth="1"/>
    <col min="3" max="3" width="7.5546875" customWidth="1"/>
    <col min="4" max="4" width="15.21875" bestFit="1" customWidth="1"/>
    <col min="5" max="5" width="14.109375" customWidth="1"/>
    <col min="6" max="6" width="17.44140625" customWidth="1"/>
    <col min="7" max="7" width="11.109375" customWidth="1"/>
    <col min="8" max="8" width="17.33203125" bestFit="1" customWidth="1"/>
    <col min="9" max="9" width="12" customWidth="1"/>
    <col min="10" max="10" width="18.21875" customWidth="1"/>
    <col min="11" max="11" width="16.33203125" customWidth="1"/>
    <col min="12" max="12" width="14.33203125" customWidth="1"/>
  </cols>
  <sheetData>
    <row r="1" spans="1:12" ht="15" thickBot="1" x14ac:dyDescent="0.35">
      <c r="A1" s="10" t="s">
        <v>0</v>
      </c>
      <c r="B1" s="11" t="s">
        <v>1</v>
      </c>
      <c r="C1" s="11" t="s">
        <v>2</v>
      </c>
      <c r="D1" s="11" t="s">
        <v>138</v>
      </c>
      <c r="E1" s="11" t="s">
        <v>3</v>
      </c>
      <c r="F1" s="11" t="s">
        <v>4</v>
      </c>
      <c r="G1" s="11" t="s">
        <v>5</v>
      </c>
      <c r="H1" s="11" t="s">
        <v>119</v>
      </c>
      <c r="I1" s="11" t="s">
        <v>6</v>
      </c>
      <c r="J1" s="11" t="s">
        <v>7</v>
      </c>
      <c r="K1" s="11" t="s">
        <v>118</v>
      </c>
      <c r="L1" s="12" t="s">
        <v>120</v>
      </c>
    </row>
    <row r="2" spans="1:12" ht="15.6" thickTop="1" thickBot="1" x14ac:dyDescent="0.35">
      <c r="A2" s="5">
        <v>1001</v>
      </c>
      <c r="B2" s="6" t="s">
        <v>8</v>
      </c>
      <c r="C2" s="6">
        <v>40</v>
      </c>
      <c r="D2" s="6" t="str">
        <f t="shared" ref="D2:D33" si="0">IF(C2&gt;=60,"Senior",IF(C3&gt;=40,"Middle Age","Junior"))</f>
        <v>Middle Age</v>
      </c>
      <c r="E2" s="7">
        <v>44969</v>
      </c>
      <c r="F2" s="6" t="s">
        <v>9</v>
      </c>
      <c r="G2" s="6">
        <v>35520</v>
      </c>
      <c r="H2" s="6" t="str">
        <f>IF(G2&gt;60000,"High",IF(G2&gt;=40000,"Medium","Low"))</f>
        <v>Low</v>
      </c>
      <c r="I2" s="6" t="s">
        <v>10</v>
      </c>
      <c r="J2" s="6">
        <v>9681995458</v>
      </c>
      <c r="K2" s="17">
        <f t="shared" ref="K2:K33" si="1">ROUND(AVERAGE(G2:G101),2)</f>
        <v>43446.6</v>
      </c>
      <c r="L2" s="18">
        <f t="shared" ref="L2:L33" si="2">ROUND(AVERAGE(C2:C101),2)</f>
        <v>39.9</v>
      </c>
    </row>
    <row r="3" spans="1:12" ht="15.6" thickTop="1" thickBot="1" x14ac:dyDescent="0.35">
      <c r="A3" s="5">
        <v>1002</v>
      </c>
      <c r="B3" s="6" t="s">
        <v>11</v>
      </c>
      <c r="C3" s="6">
        <v>45</v>
      </c>
      <c r="D3" s="6" t="str">
        <f t="shared" si="0"/>
        <v>Middle Age</v>
      </c>
      <c r="E3" s="7">
        <v>44599</v>
      </c>
      <c r="F3" s="6" t="s">
        <v>12</v>
      </c>
      <c r="G3" s="6">
        <v>62386</v>
      </c>
      <c r="H3" s="6" t="str">
        <f t="shared" ref="H3:H66" si="3">IF(G3&gt;60000,"High",IF(G3&gt;=40000,"Medium","Low"))</f>
        <v>High</v>
      </c>
      <c r="I3" s="6" t="s">
        <v>13</v>
      </c>
      <c r="J3" s="6">
        <v>9116845884</v>
      </c>
      <c r="K3" s="17">
        <f t="shared" si="1"/>
        <v>43526.67</v>
      </c>
      <c r="L3" s="18">
        <f t="shared" si="2"/>
        <v>39.9</v>
      </c>
    </row>
    <row r="4" spans="1:12" ht="15.6" thickTop="1" thickBot="1" x14ac:dyDescent="0.35">
      <c r="A4" s="5">
        <v>1003</v>
      </c>
      <c r="B4" s="6" t="s">
        <v>14</v>
      </c>
      <c r="C4" s="6">
        <v>63</v>
      </c>
      <c r="D4" s="6" t="str">
        <f t="shared" si="0"/>
        <v>Senior</v>
      </c>
      <c r="E4" s="7">
        <v>44325</v>
      </c>
      <c r="F4" s="6" t="s">
        <v>15</v>
      </c>
      <c r="G4" s="6">
        <v>28353</v>
      </c>
      <c r="H4" s="6" t="str">
        <f t="shared" si="3"/>
        <v>Low</v>
      </c>
      <c r="I4" s="6" t="s">
        <v>16</v>
      </c>
      <c r="J4" s="6">
        <v>9842537593</v>
      </c>
      <c r="K4" s="17">
        <f t="shared" si="1"/>
        <v>43334.22</v>
      </c>
      <c r="L4" s="18">
        <f t="shared" si="2"/>
        <v>39.85</v>
      </c>
    </row>
    <row r="5" spans="1:12" ht="15.6" thickTop="1" thickBot="1" x14ac:dyDescent="0.35">
      <c r="A5" s="5">
        <v>1004</v>
      </c>
      <c r="B5" s="6" t="s">
        <v>17</v>
      </c>
      <c r="C5" s="6">
        <v>22</v>
      </c>
      <c r="D5" s="6" t="str">
        <f t="shared" si="0"/>
        <v>Junior</v>
      </c>
      <c r="E5" s="6" t="s">
        <v>18</v>
      </c>
      <c r="F5" s="6" t="s">
        <v>19</v>
      </c>
      <c r="G5" s="6">
        <v>44179</v>
      </c>
      <c r="H5" s="6" t="str">
        <f t="shared" si="3"/>
        <v>Medium</v>
      </c>
      <c r="I5" s="6" t="s">
        <v>20</v>
      </c>
      <c r="J5" s="6">
        <v>8248924059</v>
      </c>
      <c r="K5" s="17">
        <f t="shared" si="1"/>
        <v>43488.67</v>
      </c>
      <c r="L5" s="18">
        <f t="shared" si="2"/>
        <v>39.61</v>
      </c>
    </row>
    <row r="6" spans="1:12" ht="15.6" thickTop="1" thickBot="1" x14ac:dyDescent="0.35">
      <c r="A6" s="5">
        <v>1005</v>
      </c>
      <c r="B6" s="6" t="s">
        <v>21</v>
      </c>
      <c r="C6" s="6">
        <v>21</v>
      </c>
      <c r="D6" s="6" t="str">
        <f t="shared" si="0"/>
        <v>Middle Age</v>
      </c>
      <c r="E6" s="6" t="s">
        <v>22</v>
      </c>
      <c r="F6" s="6" t="s">
        <v>23</v>
      </c>
      <c r="G6" s="6">
        <v>67162</v>
      </c>
      <c r="H6" s="6" t="str">
        <f t="shared" si="3"/>
        <v>High</v>
      </c>
      <c r="I6" s="6" t="s">
        <v>24</v>
      </c>
      <c r="J6" s="6">
        <v>9765919786</v>
      </c>
      <c r="K6" s="17">
        <f t="shared" si="1"/>
        <v>43481.48</v>
      </c>
      <c r="L6" s="18">
        <f t="shared" si="2"/>
        <v>39.79</v>
      </c>
    </row>
    <row r="7" spans="1:12" ht="15.6" thickTop="1" thickBot="1" x14ac:dyDescent="0.35">
      <c r="A7" s="5">
        <v>1006</v>
      </c>
      <c r="B7" s="6" t="s">
        <v>25</v>
      </c>
      <c r="C7" s="6">
        <v>59</v>
      </c>
      <c r="D7" s="6" t="str">
        <f t="shared" si="0"/>
        <v>Middle Age</v>
      </c>
      <c r="E7" s="6" t="s">
        <v>26</v>
      </c>
      <c r="F7" s="6" t="s">
        <v>117</v>
      </c>
      <c r="G7" s="6">
        <v>31319</v>
      </c>
      <c r="H7" s="6" t="str">
        <f t="shared" si="3"/>
        <v>Low</v>
      </c>
      <c r="I7" s="6" t="s">
        <v>27</v>
      </c>
      <c r="J7" s="6">
        <v>8383101486</v>
      </c>
      <c r="K7" s="17">
        <f t="shared" si="1"/>
        <v>43232.21</v>
      </c>
      <c r="L7" s="18">
        <f t="shared" si="2"/>
        <v>39.99</v>
      </c>
    </row>
    <row r="8" spans="1:12" ht="15.6" thickTop="1" thickBot="1" x14ac:dyDescent="0.35">
      <c r="A8" s="5">
        <v>1007</v>
      </c>
      <c r="B8" s="6" t="s">
        <v>28</v>
      </c>
      <c r="C8" s="6">
        <v>54</v>
      </c>
      <c r="D8" s="6" t="str">
        <f t="shared" si="0"/>
        <v>Middle Age</v>
      </c>
      <c r="E8" s="6" t="s">
        <v>29</v>
      </c>
      <c r="F8" s="6" t="s">
        <v>12</v>
      </c>
      <c r="G8" s="6">
        <v>69474</v>
      </c>
      <c r="H8" s="6" t="str">
        <f t="shared" si="3"/>
        <v>High</v>
      </c>
      <c r="I8" s="6" t="s">
        <v>10</v>
      </c>
      <c r="J8" s="6">
        <v>8185019875</v>
      </c>
      <c r="K8" s="17">
        <f t="shared" si="1"/>
        <v>43358.95</v>
      </c>
      <c r="L8" s="18">
        <f t="shared" si="2"/>
        <v>39.79</v>
      </c>
    </row>
    <row r="9" spans="1:12" ht="15.6" thickTop="1" thickBot="1" x14ac:dyDescent="0.35">
      <c r="A9" s="5">
        <v>1008</v>
      </c>
      <c r="B9" s="6" t="s">
        <v>30</v>
      </c>
      <c r="C9" s="6">
        <v>62</v>
      </c>
      <c r="D9" s="6" t="str">
        <f t="shared" si="0"/>
        <v>Senior</v>
      </c>
      <c r="E9" s="6" t="s">
        <v>31</v>
      </c>
      <c r="F9" s="6" t="s">
        <v>15</v>
      </c>
      <c r="G9" s="6">
        <v>63344</v>
      </c>
      <c r="H9" s="6" t="str">
        <f t="shared" si="3"/>
        <v>High</v>
      </c>
      <c r="I9" s="6" t="s">
        <v>13</v>
      </c>
      <c r="J9" s="6">
        <v>8936658199</v>
      </c>
      <c r="K9" s="17">
        <f t="shared" si="1"/>
        <v>43078.14</v>
      </c>
      <c r="L9" s="18">
        <f t="shared" si="2"/>
        <v>39.630000000000003</v>
      </c>
    </row>
    <row r="10" spans="1:12" ht="15.6" thickTop="1" thickBot="1" x14ac:dyDescent="0.35">
      <c r="A10" s="5">
        <v>1009</v>
      </c>
      <c r="B10" s="6" t="s">
        <v>32</v>
      </c>
      <c r="C10" s="6">
        <v>39</v>
      </c>
      <c r="D10" s="6" t="str">
        <f t="shared" si="0"/>
        <v>Junior</v>
      </c>
      <c r="E10" s="7">
        <v>44357</v>
      </c>
      <c r="F10" s="6" t="s">
        <v>117</v>
      </c>
      <c r="G10" s="6">
        <v>55743</v>
      </c>
      <c r="H10" s="6" t="str">
        <f t="shared" si="3"/>
        <v>Medium</v>
      </c>
      <c r="I10" s="6" t="s">
        <v>16</v>
      </c>
      <c r="J10" s="6">
        <v>9103924124</v>
      </c>
      <c r="K10" s="17">
        <f t="shared" si="1"/>
        <v>42857.86</v>
      </c>
      <c r="L10" s="18">
        <f t="shared" si="2"/>
        <v>39.39</v>
      </c>
    </row>
    <row r="11" spans="1:12" ht="15.6" thickTop="1" thickBot="1" x14ac:dyDescent="0.35">
      <c r="A11" s="5">
        <v>1010</v>
      </c>
      <c r="B11" s="6" t="s">
        <v>33</v>
      </c>
      <c r="C11" s="6">
        <v>22</v>
      </c>
      <c r="D11" s="6" t="str">
        <f t="shared" si="0"/>
        <v>Junior</v>
      </c>
      <c r="E11" s="6" t="s">
        <v>34</v>
      </c>
      <c r="F11" s="6" t="s">
        <v>23</v>
      </c>
      <c r="G11" s="6">
        <v>34620</v>
      </c>
      <c r="H11" s="6" t="str">
        <f t="shared" si="3"/>
        <v>Low</v>
      </c>
      <c r="I11" s="6" t="s">
        <v>20</v>
      </c>
      <c r="J11" s="6">
        <v>8285595886</v>
      </c>
      <c r="K11" s="17">
        <f t="shared" si="1"/>
        <v>42716.26</v>
      </c>
      <c r="L11" s="18">
        <f t="shared" si="2"/>
        <v>39.4</v>
      </c>
    </row>
    <row r="12" spans="1:12" ht="15.6" thickTop="1" thickBot="1" x14ac:dyDescent="0.35">
      <c r="A12" s="5">
        <v>1011</v>
      </c>
      <c r="B12" s="6" t="s">
        <v>35</v>
      </c>
      <c r="C12" s="6">
        <v>24</v>
      </c>
      <c r="D12" s="6" t="str">
        <f t="shared" si="0"/>
        <v>Junior</v>
      </c>
      <c r="E12" s="7">
        <v>44232</v>
      </c>
      <c r="F12" s="6" t="s">
        <v>9</v>
      </c>
      <c r="G12" s="6">
        <v>54306</v>
      </c>
      <c r="H12" s="6" t="str">
        <f t="shared" si="3"/>
        <v>Medium</v>
      </c>
      <c r="I12" s="6" t="s">
        <v>24</v>
      </c>
      <c r="J12" s="6">
        <v>8133729502</v>
      </c>
      <c r="K12" s="17">
        <f t="shared" si="1"/>
        <v>42806.22</v>
      </c>
      <c r="L12" s="18">
        <f t="shared" si="2"/>
        <v>39.590000000000003</v>
      </c>
    </row>
    <row r="13" spans="1:12" ht="15.6" thickTop="1" thickBot="1" x14ac:dyDescent="0.35">
      <c r="A13" s="5">
        <v>1012</v>
      </c>
      <c r="B13" s="6" t="s">
        <v>36</v>
      </c>
      <c r="C13" s="6">
        <v>30</v>
      </c>
      <c r="D13" s="6" t="str">
        <f t="shared" si="0"/>
        <v>Middle Age</v>
      </c>
      <c r="E13" s="6" t="s">
        <v>37</v>
      </c>
      <c r="F13" s="6" t="s">
        <v>12</v>
      </c>
      <c r="G13" s="6">
        <v>24857</v>
      </c>
      <c r="H13" s="6" t="str">
        <f t="shared" si="3"/>
        <v>Low</v>
      </c>
      <c r="I13" s="6" t="s">
        <v>27</v>
      </c>
      <c r="J13" s="6">
        <v>8125006343</v>
      </c>
      <c r="K13" s="17">
        <f t="shared" si="1"/>
        <v>42677.01</v>
      </c>
      <c r="L13" s="18">
        <f t="shared" si="2"/>
        <v>39.76</v>
      </c>
    </row>
    <row r="14" spans="1:12" ht="15.6" thickTop="1" thickBot="1" x14ac:dyDescent="0.35">
      <c r="A14" s="5">
        <v>1013</v>
      </c>
      <c r="B14" s="6" t="s">
        <v>38</v>
      </c>
      <c r="C14" s="6">
        <v>50</v>
      </c>
      <c r="D14" s="6" t="str">
        <f t="shared" si="0"/>
        <v>Junior</v>
      </c>
      <c r="E14" s="7">
        <v>44570</v>
      </c>
      <c r="F14" s="6" t="s">
        <v>15</v>
      </c>
      <c r="G14" s="6">
        <v>36011</v>
      </c>
      <c r="H14" s="6" t="str">
        <f t="shared" si="3"/>
        <v>Low</v>
      </c>
      <c r="I14" s="6" t="s">
        <v>10</v>
      </c>
      <c r="J14" s="6">
        <v>8646462988</v>
      </c>
      <c r="K14" s="17">
        <f t="shared" si="1"/>
        <v>42879.51</v>
      </c>
      <c r="L14" s="18">
        <f t="shared" si="2"/>
        <v>39.880000000000003</v>
      </c>
    </row>
    <row r="15" spans="1:12" ht="15.6" thickTop="1" thickBot="1" x14ac:dyDescent="0.35">
      <c r="A15" s="5">
        <v>1014</v>
      </c>
      <c r="B15" s="6" t="s">
        <v>39</v>
      </c>
      <c r="C15" s="6">
        <v>26</v>
      </c>
      <c r="D15" s="6" t="str">
        <f t="shared" si="0"/>
        <v>Junior</v>
      </c>
      <c r="E15" s="7">
        <v>44054</v>
      </c>
      <c r="F15" s="6" t="s">
        <v>19</v>
      </c>
      <c r="G15" s="6">
        <v>45500</v>
      </c>
      <c r="H15" s="6" t="str">
        <f t="shared" si="3"/>
        <v>Medium</v>
      </c>
      <c r="I15" s="6" t="s">
        <v>13</v>
      </c>
      <c r="J15" s="6">
        <v>8227233565</v>
      </c>
      <c r="K15" s="17">
        <f t="shared" si="1"/>
        <v>42958.46</v>
      </c>
      <c r="L15" s="18">
        <f t="shared" si="2"/>
        <v>39.76</v>
      </c>
    </row>
    <row r="16" spans="1:12" ht="15.6" thickTop="1" thickBot="1" x14ac:dyDescent="0.35">
      <c r="A16" s="5">
        <v>1015</v>
      </c>
      <c r="B16" s="6" t="s">
        <v>40</v>
      </c>
      <c r="C16" s="6">
        <v>39</v>
      </c>
      <c r="D16" s="6" t="str">
        <f t="shared" si="0"/>
        <v>Middle Age</v>
      </c>
      <c r="E16" s="6" t="s">
        <v>41</v>
      </c>
      <c r="F16" s="6" t="s">
        <v>117</v>
      </c>
      <c r="G16" s="6">
        <v>24549</v>
      </c>
      <c r="H16" s="6" t="str">
        <f t="shared" si="3"/>
        <v>Low</v>
      </c>
      <c r="I16" s="6" t="s">
        <v>16</v>
      </c>
      <c r="J16" s="6">
        <v>8821608961</v>
      </c>
      <c r="K16" s="17">
        <f t="shared" si="1"/>
        <v>42928.91</v>
      </c>
      <c r="L16" s="18">
        <f t="shared" si="2"/>
        <v>39.92</v>
      </c>
    </row>
    <row r="17" spans="1:12" ht="15.6" thickTop="1" thickBot="1" x14ac:dyDescent="0.35">
      <c r="A17" s="5">
        <v>1016</v>
      </c>
      <c r="B17" s="6" t="s">
        <v>42</v>
      </c>
      <c r="C17" s="6">
        <v>45</v>
      </c>
      <c r="D17" s="6" t="str">
        <f t="shared" si="0"/>
        <v>Junior</v>
      </c>
      <c r="E17" s="6" t="s">
        <v>43</v>
      </c>
      <c r="F17" s="6" t="s">
        <v>9</v>
      </c>
      <c r="G17" s="6">
        <v>67169</v>
      </c>
      <c r="H17" s="6" t="str">
        <f t="shared" si="3"/>
        <v>High</v>
      </c>
      <c r="I17" s="6" t="s">
        <v>20</v>
      </c>
      <c r="J17" s="6">
        <v>8009065215</v>
      </c>
      <c r="K17" s="17">
        <f t="shared" si="1"/>
        <v>43145.14</v>
      </c>
      <c r="L17" s="18">
        <f t="shared" si="2"/>
        <v>39.93</v>
      </c>
    </row>
    <row r="18" spans="1:12" ht="15.6" thickTop="1" thickBot="1" x14ac:dyDescent="0.35">
      <c r="A18" s="5">
        <v>1017</v>
      </c>
      <c r="B18" s="6" t="s">
        <v>44</v>
      </c>
      <c r="C18" s="6">
        <v>22</v>
      </c>
      <c r="D18" s="6" t="str">
        <f t="shared" si="0"/>
        <v>Junior</v>
      </c>
      <c r="E18" s="6" t="s">
        <v>45</v>
      </c>
      <c r="F18" s="6" t="s">
        <v>12</v>
      </c>
      <c r="G18" s="6">
        <v>21351</v>
      </c>
      <c r="H18" s="6" t="str">
        <f t="shared" si="3"/>
        <v>Low</v>
      </c>
      <c r="I18" s="6" t="s">
        <v>24</v>
      </c>
      <c r="J18" s="6">
        <v>8016298128</v>
      </c>
      <c r="K18" s="17">
        <f t="shared" si="1"/>
        <v>42859.14</v>
      </c>
      <c r="L18" s="18">
        <f t="shared" si="2"/>
        <v>39.869999999999997</v>
      </c>
    </row>
    <row r="19" spans="1:12" ht="15.6" thickTop="1" thickBot="1" x14ac:dyDescent="0.35">
      <c r="A19" s="5">
        <v>1018</v>
      </c>
      <c r="B19" s="6" t="s">
        <v>46</v>
      </c>
      <c r="C19" s="6">
        <v>38</v>
      </c>
      <c r="D19" s="6" t="str">
        <f t="shared" si="0"/>
        <v>Junior</v>
      </c>
      <c r="E19" s="6" t="s">
        <v>47</v>
      </c>
      <c r="F19" s="6" t="s">
        <v>15</v>
      </c>
      <c r="G19" s="6">
        <v>21799</v>
      </c>
      <c r="H19" s="6" t="str">
        <f t="shared" si="3"/>
        <v>Low</v>
      </c>
      <c r="I19" s="6" t="s">
        <v>27</v>
      </c>
      <c r="J19" s="6">
        <v>9444306078</v>
      </c>
      <c r="K19" s="17">
        <f t="shared" si="1"/>
        <v>43118.28</v>
      </c>
      <c r="L19" s="18">
        <f t="shared" si="2"/>
        <v>40.08</v>
      </c>
    </row>
    <row r="20" spans="1:12" ht="15.6" thickTop="1" thickBot="1" x14ac:dyDescent="0.35">
      <c r="A20" s="5">
        <v>1019</v>
      </c>
      <c r="B20" s="6" t="s">
        <v>48</v>
      </c>
      <c r="C20" s="6">
        <v>25</v>
      </c>
      <c r="D20" s="6" t="str">
        <f t="shared" si="0"/>
        <v>Junior</v>
      </c>
      <c r="E20" s="6" t="s">
        <v>49</v>
      </c>
      <c r="F20" s="6" t="s">
        <v>19</v>
      </c>
      <c r="G20" s="6">
        <v>42165</v>
      </c>
      <c r="H20" s="6" t="str">
        <f t="shared" si="3"/>
        <v>Medium</v>
      </c>
      <c r="I20" s="6" t="s">
        <v>10</v>
      </c>
      <c r="J20" s="6">
        <v>8788867810</v>
      </c>
      <c r="K20" s="17">
        <f t="shared" si="1"/>
        <v>43378.27</v>
      </c>
      <c r="L20" s="18">
        <f t="shared" si="2"/>
        <v>40.11</v>
      </c>
    </row>
    <row r="21" spans="1:12" ht="15.6" thickTop="1" thickBot="1" x14ac:dyDescent="0.35">
      <c r="A21" s="5">
        <v>1020</v>
      </c>
      <c r="B21" s="6" t="s">
        <v>50</v>
      </c>
      <c r="C21" s="6">
        <v>21</v>
      </c>
      <c r="D21" s="6" t="str">
        <f t="shared" si="0"/>
        <v>Junior</v>
      </c>
      <c r="E21" s="6" t="s">
        <v>51</v>
      </c>
      <c r="F21" s="6" t="s">
        <v>23</v>
      </c>
      <c r="G21" s="6">
        <v>24533</v>
      </c>
      <c r="H21" s="6" t="str">
        <f t="shared" si="3"/>
        <v>Low</v>
      </c>
      <c r="I21" s="6" t="s">
        <v>13</v>
      </c>
      <c r="J21" s="6">
        <v>9890058612</v>
      </c>
      <c r="K21" s="17">
        <f t="shared" si="1"/>
        <v>43393.25</v>
      </c>
      <c r="L21" s="18">
        <f t="shared" si="2"/>
        <v>40.299999999999997</v>
      </c>
    </row>
    <row r="22" spans="1:12" ht="15.6" thickTop="1" thickBot="1" x14ac:dyDescent="0.35">
      <c r="A22" s="5">
        <v>1021</v>
      </c>
      <c r="B22" s="6" t="s">
        <v>52</v>
      </c>
      <c r="C22" s="6">
        <v>30</v>
      </c>
      <c r="D22" s="6" t="str">
        <f t="shared" si="0"/>
        <v>Middle Age</v>
      </c>
      <c r="E22" s="6" t="s">
        <v>53</v>
      </c>
      <c r="F22" s="6" t="s">
        <v>9</v>
      </c>
      <c r="G22" s="6">
        <v>35804</v>
      </c>
      <c r="H22" s="6" t="str">
        <f t="shared" si="3"/>
        <v>Low</v>
      </c>
      <c r="I22" s="6" t="s">
        <v>16</v>
      </c>
      <c r="J22" s="6">
        <v>9884258935</v>
      </c>
      <c r="K22" s="17">
        <f t="shared" si="1"/>
        <v>43629</v>
      </c>
      <c r="L22" s="18">
        <f t="shared" si="2"/>
        <v>40.54</v>
      </c>
    </row>
    <row r="23" spans="1:12" ht="15.6" thickTop="1" thickBot="1" x14ac:dyDescent="0.35">
      <c r="A23" s="5">
        <v>1022</v>
      </c>
      <c r="B23" s="6" t="s">
        <v>54</v>
      </c>
      <c r="C23" s="6">
        <v>47</v>
      </c>
      <c r="D23" s="6" t="str">
        <f t="shared" si="0"/>
        <v>Junior</v>
      </c>
      <c r="E23" s="7">
        <v>44897</v>
      </c>
      <c r="F23" s="6" t="s">
        <v>12</v>
      </c>
      <c r="G23" s="6">
        <v>33233</v>
      </c>
      <c r="H23" s="6" t="str">
        <f t="shared" si="3"/>
        <v>Low</v>
      </c>
      <c r="I23" s="6" t="s">
        <v>20</v>
      </c>
      <c r="J23" s="6">
        <v>9314911702</v>
      </c>
      <c r="K23" s="17">
        <f t="shared" si="1"/>
        <v>43728.05</v>
      </c>
      <c r="L23" s="18">
        <f t="shared" si="2"/>
        <v>40.67</v>
      </c>
    </row>
    <row r="24" spans="1:12" ht="15.6" thickTop="1" thickBot="1" x14ac:dyDescent="0.35">
      <c r="A24" s="5">
        <v>1023</v>
      </c>
      <c r="B24" s="6" t="s">
        <v>55</v>
      </c>
      <c r="C24" s="6">
        <v>30</v>
      </c>
      <c r="D24" s="6" t="str">
        <f t="shared" si="0"/>
        <v>Junior</v>
      </c>
      <c r="E24" s="6" t="s">
        <v>56</v>
      </c>
      <c r="F24" s="6" t="s">
        <v>117</v>
      </c>
      <c r="G24" s="6">
        <v>34928</v>
      </c>
      <c r="H24" s="6" t="str">
        <f t="shared" si="3"/>
        <v>Low</v>
      </c>
      <c r="I24" s="6" t="s">
        <v>24</v>
      </c>
      <c r="J24" s="6">
        <v>8100189727</v>
      </c>
      <c r="K24" s="17">
        <f t="shared" si="1"/>
        <v>43862.6</v>
      </c>
      <c r="L24" s="18">
        <f t="shared" si="2"/>
        <v>40.590000000000003</v>
      </c>
    </row>
    <row r="25" spans="1:12" ht="15.6" thickTop="1" thickBot="1" x14ac:dyDescent="0.35">
      <c r="A25" s="5">
        <v>1024</v>
      </c>
      <c r="B25" s="6" t="s">
        <v>57</v>
      </c>
      <c r="C25" s="6">
        <v>32</v>
      </c>
      <c r="D25" s="6" t="str">
        <f t="shared" si="0"/>
        <v>Middle Age</v>
      </c>
      <c r="E25" s="7">
        <v>45087</v>
      </c>
      <c r="F25" s="6" t="s">
        <v>19</v>
      </c>
      <c r="G25" s="6">
        <v>32832</v>
      </c>
      <c r="H25" s="6" t="str">
        <f t="shared" si="3"/>
        <v>Low</v>
      </c>
      <c r="I25" s="6" t="s">
        <v>27</v>
      </c>
      <c r="J25" s="6">
        <v>8008580293</v>
      </c>
      <c r="K25" s="17">
        <f t="shared" si="1"/>
        <v>43978.64</v>
      </c>
      <c r="L25" s="18">
        <f t="shared" si="2"/>
        <v>40.729999999999997</v>
      </c>
    </row>
    <row r="26" spans="1:12" ht="15.6" thickTop="1" thickBot="1" x14ac:dyDescent="0.35">
      <c r="A26" s="5">
        <v>1025</v>
      </c>
      <c r="B26" s="6" t="s">
        <v>58</v>
      </c>
      <c r="C26" s="6">
        <v>44</v>
      </c>
      <c r="D26" s="6" t="str">
        <f t="shared" si="0"/>
        <v>Middle Age</v>
      </c>
      <c r="E26" s="6" t="s">
        <v>59</v>
      </c>
      <c r="F26" s="6" t="s">
        <v>23</v>
      </c>
      <c r="G26" s="6">
        <v>45840</v>
      </c>
      <c r="H26" s="6" t="str">
        <f t="shared" si="3"/>
        <v>Medium</v>
      </c>
      <c r="I26" s="6" t="s">
        <v>10</v>
      </c>
      <c r="J26" s="6">
        <v>9847967631</v>
      </c>
      <c r="K26" s="17">
        <f t="shared" si="1"/>
        <v>44125.3</v>
      </c>
      <c r="L26" s="18">
        <f t="shared" si="2"/>
        <v>40.840000000000003</v>
      </c>
    </row>
    <row r="27" spans="1:12" ht="15.6" thickTop="1" thickBot="1" x14ac:dyDescent="0.35">
      <c r="A27" s="5">
        <v>1026</v>
      </c>
      <c r="B27" s="6" t="s">
        <v>60</v>
      </c>
      <c r="C27" s="6">
        <v>63</v>
      </c>
      <c r="D27" s="6" t="str">
        <f t="shared" si="0"/>
        <v>Senior</v>
      </c>
      <c r="E27" s="7">
        <v>45087</v>
      </c>
      <c r="F27" s="6" t="s">
        <v>9</v>
      </c>
      <c r="G27" s="6">
        <v>67772</v>
      </c>
      <c r="H27" s="6" t="str">
        <f t="shared" si="3"/>
        <v>High</v>
      </c>
      <c r="I27" s="6" t="s">
        <v>13</v>
      </c>
      <c r="J27" s="6">
        <v>9647925363</v>
      </c>
      <c r="K27" s="17">
        <f t="shared" si="1"/>
        <v>44102.44</v>
      </c>
      <c r="L27" s="18">
        <f t="shared" si="2"/>
        <v>40.799999999999997</v>
      </c>
    </row>
    <row r="28" spans="1:12" ht="15.6" thickTop="1" thickBot="1" x14ac:dyDescent="0.35">
      <c r="A28" s="5">
        <v>1027</v>
      </c>
      <c r="B28" s="6" t="s">
        <v>61</v>
      </c>
      <c r="C28" s="6">
        <v>54</v>
      </c>
      <c r="D28" s="6" t="str">
        <f t="shared" si="0"/>
        <v>Middle Age</v>
      </c>
      <c r="E28" s="6" t="s">
        <v>62</v>
      </c>
      <c r="F28" s="6" t="s">
        <v>12</v>
      </c>
      <c r="G28" s="6">
        <v>31891</v>
      </c>
      <c r="H28" s="6" t="str">
        <f t="shared" si="3"/>
        <v>Low</v>
      </c>
      <c r="I28" s="6" t="s">
        <v>16</v>
      </c>
      <c r="J28" s="6">
        <v>9749243756</v>
      </c>
      <c r="K28" s="17">
        <f t="shared" si="1"/>
        <v>43782.58</v>
      </c>
      <c r="L28" s="18">
        <f t="shared" si="2"/>
        <v>40.5</v>
      </c>
    </row>
    <row r="29" spans="1:12" ht="15.6" thickTop="1" thickBot="1" x14ac:dyDescent="0.35">
      <c r="A29" s="5">
        <v>1028</v>
      </c>
      <c r="B29" s="6" t="s">
        <v>63</v>
      </c>
      <c r="C29" s="6">
        <v>58</v>
      </c>
      <c r="D29" s="6" t="str">
        <f t="shared" si="0"/>
        <v>Junior</v>
      </c>
      <c r="E29" s="7">
        <v>44258</v>
      </c>
      <c r="F29" s="6" t="s">
        <v>15</v>
      </c>
      <c r="G29" s="6">
        <v>33567</v>
      </c>
      <c r="H29" s="6" t="str">
        <f t="shared" si="3"/>
        <v>Low</v>
      </c>
      <c r="I29" s="6" t="s">
        <v>20</v>
      </c>
      <c r="J29" s="6">
        <v>9005929955</v>
      </c>
      <c r="K29" s="17">
        <f t="shared" si="1"/>
        <v>43945.48</v>
      </c>
      <c r="L29" s="18">
        <f t="shared" si="2"/>
        <v>40.32</v>
      </c>
    </row>
    <row r="30" spans="1:12" ht="15.6" thickTop="1" thickBot="1" x14ac:dyDescent="0.35">
      <c r="A30" s="5">
        <v>1029</v>
      </c>
      <c r="B30" s="6" t="s">
        <v>64</v>
      </c>
      <c r="C30" s="6">
        <v>21</v>
      </c>
      <c r="D30" s="6" t="str">
        <f t="shared" si="0"/>
        <v>Junior</v>
      </c>
      <c r="E30" s="7">
        <v>44471</v>
      </c>
      <c r="F30" s="6" t="s">
        <v>117</v>
      </c>
      <c r="G30" s="6">
        <v>39588</v>
      </c>
      <c r="H30" s="6" t="str">
        <f t="shared" si="3"/>
        <v>Low</v>
      </c>
      <c r="I30" s="6" t="s">
        <v>24</v>
      </c>
      <c r="J30" s="6">
        <v>9009246830</v>
      </c>
      <c r="K30" s="17">
        <f t="shared" si="1"/>
        <v>44089.63</v>
      </c>
      <c r="L30" s="18">
        <f t="shared" si="2"/>
        <v>40.07</v>
      </c>
    </row>
    <row r="31" spans="1:12" ht="15.6" thickTop="1" thickBot="1" x14ac:dyDescent="0.35">
      <c r="A31" s="5">
        <v>1030</v>
      </c>
      <c r="B31" s="6" t="s">
        <v>65</v>
      </c>
      <c r="C31" s="6">
        <v>28</v>
      </c>
      <c r="D31" s="6" t="str">
        <f t="shared" si="0"/>
        <v>Junior</v>
      </c>
      <c r="E31" s="7">
        <v>43867</v>
      </c>
      <c r="F31" s="6" t="s">
        <v>23</v>
      </c>
      <c r="G31" s="6">
        <v>32281</v>
      </c>
      <c r="H31" s="6" t="str">
        <f t="shared" si="3"/>
        <v>Low</v>
      </c>
      <c r="I31" s="6" t="s">
        <v>27</v>
      </c>
      <c r="J31" s="6">
        <v>9659363386</v>
      </c>
      <c r="K31" s="17">
        <f t="shared" si="1"/>
        <v>44153.03</v>
      </c>
      <c r="L31" s="18">
        <f t="shared" si="2"/>
        <v>40.340000000000003</v>
      </c>
    </row>
    <row r="32" spans="1:12" ht="15.6" thickTop="1" thickBot="1" x14ac:dyDescent="0.35">
      <c r="A32" s="5">
        <v>1031</v>
      </c>
      <c r="B32" s="6" t="s">
        <v>66</v>
      </c>
      <c r="C32" s="6">
        <v>38</v>
      </c>
      <c r="D32" s="6" t="str">
        <f t="shared" si="0"/>
        <v>Middle Age</v>
      </c>
      <c r="E32" s="7">
        <v>44084</v>
      </c>
      <c r="F32" s="6" t="s">
        <v>9</v>
      </c>
      <c r="G32" s="6">
        <v>39112</v>
      </c>
      <c r="H32" s="6" t="str">
        <f t="shared" si="3"/>
        <v>Low</v>
      </c>
      <c r="I32" s="6" t="s">
        <v>10</v>
      </c>
      <c r="J32" s="6">
        <v>8122257040</v>
      </c>
      <c r="K32" s="17">
        <f t="shared" si="1"/>
        <v>44322.63</v>
      </c>
      <c r="L32" s="18">
        <f t="shared" si="2"/>
        <v>40.51</v>
      </c>
    </row>
    <row r="33" spans="1:12" ht="15.6" thickTop="1" thickBot="1" x14ac:dyDescent="0.35">
      <c r="A33" s="5">
        <v>1032</v>
      </c>
      <c r="B33" s="6" t="s">
        <v>67</v>
      </c>
      <c r="C33" s="6">
        <v>47</v>
      </c>
      <c r="D33" s="6" t="str">
        <f t="shared" si="0"/>
        <v>Junior</v>
      </c>
      <c r="E33" s="6" t="s">
        <v>68</v>
      </c>
      <c r="F33" s="6" t="s">
        <v>12</v>
      </c>
      <c r="G33" s="6">
        <v>36136</v>
      </c>
      <c r="H33" s="6" t="str">
        <f t="shared" si="3"/>
        <v>Low</v>
      </c>
      <c r="I33" s="6" t="s">
        <v>13</v>
      </c>
      <c r="J33" s="6">
        <v>8662114865</v>
      </c>
      <c r="K33" s="17">
        <f t="shared" si="1"/>
        <v>44398.14</v>
      </c>
      <c r="L33" s="18">
        <f t="shared" si="2"/>
        <v>40.549999999999997</v>
      </c>
    </row>
    <row r="34" spans="1:12" ht="15.6" thickTop="1" thickBot="1" x14ac:dyDescent="0.35">
      <c r="A34" s="5">
        <v>1033</v>
      </c>
      <c r="B34" s="6" t="s">
        <v>69</v>
      </c>
      <c r="C34" s="6">
        <v>26</v>
      </c>
      <c r="D34" s="6" t="str">
        <f t="shared" ref="D34:D65" si="4">IF(C34&gt;=60,"Senior",IF(C35&gt;=40,"Middle Age","Junior"))</f>
        <v>Junior</v>
      </c>
      <c r="E34" s="7">
        <v>44415</v>
      </c>
      <c r="F34" s="6" t="s">
        <v>15</v>
      </c>
      <c r="G34" s="6">
        <v>45357</v>
      </c>
      <c r="H34" s="6" t="str">
        <f t="shared" si="3"/>
        <v>Medium</v>
      </c>
      <c r="I34" s="6" t="s">
        <v>16</v>
      </c>
      <c r="J34" s="6">
        <v>8559761704</v>
      </c>
      <c r="K34" s="17">
        <f t="shared" ref="K34:K65" si="5">ROUND(AVERAGE(G34:G133),2)</f>
        <v>44519.65</v>
      </c>
      <c r="L34" s="18">
        <f t="shared" ref="L34:L65" si="6">ROUND(AVERAGE(C34:C133),2)</f>
        <v>40.46</v>
      </c>
    </row>
    <row r="35" spans="1:12" ht="15.6" thickTop="1" thickBot="1" x14ac:dyDescent="0.35">
      <c r="A35" s="5">
        <v>1034</v>
      </c>
      <c r="B35" s="6" t="s">
        <v>70</v>
      </c>
      <c r="C35" s="6">
        <v>38</v>
      </c>
      <c r="D35" s="6" t="str">
        <f t="shared" si="4"/>
        <v>Junior</v>
      </c>
      <c r="E35" s="7">
        <v>43932</v>
      </c>
      <c r="F35" s="6" t="s">
        <v>19</v>
      </c>
      <c r="G35" s="6">
        <v>60172</v>
      </c>
      <c r="H35" s="6" t="str">
        <f t="shared" si="3"/>
        <v>High</v>
      </c>
      <c r="I35" s="6" t="s">
        <v>20</v>
      </c>
      <c r="J35" s="6">
        <v>9935798637</v>
      </c>
      <c r="K35" s="17">
        <f t="shared" si="5"/>
        <v>44507.15</v>
      </c>
      <c r="L35" s="18">
        <f t="shared" si="6"/>
        <v>40.67</v>
      </c>
    </row>
    <row r="36" spans="1:12" ht="15.6" thickTop="1" thickBot="1" x14ac:dyDescent="0.35">
      <c r="A36" s="5">
        <v>1035</v>
      </c>
      <c r="B36" s="6" t="s">
        <v>71</v>
      </c>
      <c r="C36" s="6">
        <v>27</v>
      </c>
      <c r="D36" s="6" t="str">
        <f t="shared" si="4"/>
        <v>Junior</v>
      </c>
      <c r="E36" s="7">
        <v>44081</v>
      </c>
      <c r="F36" s="6" t="s">
        <v>23</v>
      </c>
      <c r="G36" s="6">
        <v>27381</v>
      </c>
      <c r="H36" s="6" t="str">
        <f t="shared" si="3"/>
        <v>Low</v>
      </c>
      <c r="I36" s="6" t="s">
        <v>24</v>
      </c>
      <c r="J36" s="6">
        <v>9854054426</v>
      </c>
      <c r="K36" s="17">
        <f t="shared" si="5"/>
        <v>44269.8</v>
      </c>
      <c r="L36" s="18">
        <f t="shared" si="6"/>
        <v>40.71</v>
      </c>
    </row>
    <row r="37" spans="1:12" ht="15.6" thickTop="1" thickBot="1" x14ac:dyDescent="0.35">
      <c r="A37" s="5">
        <v>1036</v>
      </c>
      <c r="B37" s="6" t="s">
        <v>72</v>
      </c>
      <c r="C37" s="6">
        <v>18</v>
      </c>
      <c r="D37" s="6" t="str">
        <f t="shared" si="4"/>
        <v>Junior</v>
      </c>
      <c r="E37" s="7">
        <v>43533</v>
      </c>
      <c r="F37" s="6" t="s">
        <v>9</v>
      </c>
      <c r="G37" s="6">
        <v>45648</v>
      </c>
      <c r="H37" s="6" t="str">
        <f t="shared" si="3"/>
        <v>Medium</v>
      </c>
      <c r="I37" s="6" t="s">
        <v>27</v>
      </c>
      <c r="J37" s="6">
        <v>8552451243</v>
      </c>
      <c r="K37" s="17">
        <f t="shared" si="5"/>
        <v>44529.63</v>
      </c>
      <c r="L37" s="18">
        <f t="shared" si="6"/>
        <v>40.92</v>
      </c>
    </row>
    <row r="38" spans="1:12" ht="15.6" thickTop="1" thickBot="1" x14ac:dyDescent="0.35">
      <c r="A38" s="5">
        <v>1037</v>
      </c>
      <c r="B38" s="6" t="s">
        <v>73</v>
      </c>
      <c r="C38" s="6">
        <v>24</v>
      </c>
      <c r="D38" s="6" t="str">
        <f t="shared" si="4"/>
        <v>Middle Age</v>
      </c>
      <c r="E38" s="7">
        <v>44208</v>
      </c>
      <c r="F38" s="6" t="s">
        <v>117</v>
      </c>
      <c r="G38" s="6">
        <v>57287</v>
      </c>
      <c r="H38" s="6" t="str">
        <f t="shared" si="3"/>
        <v>Medium</v>
      </c>
      <c r="I38" s="6" t="s">
        <v>10</v>
      </c>
      <c r="J38" s="6">
        <v>9383008015</v>
      </c>
      <c r="K38" s="17">
        <f t="shared" si="5"/>
        <v>44512.160000000003</v>
      </c>
      <c r="L38" s="18">
        <f t="shared" si="6"/>
        <v>41.28</v>
      </c>
    </row>
    <row r="39" spans="1:12" ht="15.6" thickTop="1" thickBot="1" x14ac:dyDescent="0.35">
      <c r="A39" s="5">
        <v>1038</v>
      </c>
      <c r="B39" s="6" t="s">
        <v>74</v>
      </c>
      <c r="C39" s="6">
        <v>63</v>
      </c>
      <c r="D39" s="6" t="str">
        <f t="shared" si="4"/>
        <v>Senior</v>
      </c>
      <c r="E39" s="6" t="s">
        <v>75</v>
      </c>
      <c r="F39" s="6" t="s">
        <v>15</v>
      </c>
      <c r="G39" s="6">
        <v>32805</v>
      </c>
      <c r="H39" s="6" t="str">
        <f t="shared" si="3"/>
        <v>Low</v>
      </c>
      <c r="I39" s="6" t="s">
        <v>13</v>
      </c>
      <c r="J39" s="6">
        <v>8285797304</v>
      </c>
      <c r="K39" s="17">
        <f t="shared" si="5"/>
        <v>44309.38</v>
      </c>
      <c r="L39" s="18">
        <f t="shared" si="6"/>
        <v>41.56</v>
      </c>
    </row>
    <row r="40" spans="1:12" ht="15.6" thickTop="1" thickBot="1" x14ac:dyDescent="0.35">
      <c r="A40" s="5">
        <v>1039</v>
      </c>
      <c r="B40" s="6" t="s">
        <v>8</v>
      </c>
      <c r="C40" s="6">
        <v>19</v>
      </c>
      <c r="D40" s="6" t="str">
        <f t="shared" si="4"/>
        <v>Junior</v>
      </c>
      <c r="E40" s="6" t="s">
        <v>76</v>
      </c>
      <c r="F40" s="6" t="s">
        <v>19</v>
      </c>
      <c r="G40" s="6">
        <v>60459</v>
      </c>
      <c r="H40" s="6" t="str">
        <f t="shared" si="3"/>
        <v>High</v>
      </c>
      <c r="I40" s="6" t="s">
        <v>16</v>
      </c>
      <c r="J40" s="6">
        <v>8210671102</v>
      </c>
      <c r="K40" s="17">
        <f t="shared" si="5"/>
        <v>44494.94</v>
      </c>
      <c r="L40" s="18">
        <f t="shared" si="6"/>
        <v>41.21</v>
      </c>
    </row>
    <row r="41" spans="1:12" ht="15.6" thickTop="1" thickBot="1" x14ac:dyDescent="0.35">
      <c r="A41" s="5">
        <v>1040</v>
      </c>
      <c r="B41" s="6" t="s">
        <v>11</v>
      </c>
      <c r="C41" s="6">
        <v>39</v>
      </c>
      <c r="D41" s="6" t="str">
        <f t="shared" si="4"/>
        <v>Middle Age</v>
      </c>
      <c r="E41" s="7">
        <v>44775</v>
      </c>
      <c r="F41" s="6" t="s">
        <v>23</v>
      </c>
      <c r="G41" s="6">
        <v>37505</v>
      </c>
      <c r="H41" s="6" t="str">
        <f t="shared" si="3"/>
        <v>Low</v>
      </c>
      <c r="I41" s="6" t="s">
        <v>20</v>
      </c>
      <c r="J41" s="6">
        <v>9754030766</v>
      </c>
      <c r="K41" s="17">
        <f t="shared" si="5"/>
        <v>44233.23</v>
      </c>
      <c r="L41" s="18">
        <f t="shared" si="6"/>
        <v>41.57</v>
      </c>
    </row>
    <row r="42" spans="1:12" ht="15.6" thickTop="1" thickBot="1" x14ac:dyDescent="0.35">
      <c r="A42" s="5">
        <v>1041</v>
      </c>
      <c r="B42" s="6" t="s">
        <v>14</v>
      </c>
      <c r="C42" s="6">
        <v>62</v>
      </c>
      <c r="D42" s="6" t="str">
        <f t="shared" si="4"/>
        <v>Senior</v>
      </c>
      <c r="E42" s="7">
        <v>44108</v>
      </c>
      <c r="F42" s="6" t="s">
        <v>9</v>
      </c>
      <c r="G42" s="6">
        <v>23368</v>
      </c>
      <c r="H42" s="6" t="str">
        <f t="shared" si="3"/>
        <v>Low</v>
      </c>
      <c r="I42" s="6" t="s">
        <v>24</v>
      </c>
      <c r="J42" s="6">
        <v>8898155945</v>
      </c>
      <c r="K42" s="17">
        <f t="shared" si="5"/>
        <v>44345.37</v>
      </c>
      <c r="L42" s="18">
        <f t="shared" si="6"/>
        <v>41.62</v>
      </c>
    </row>
    <row r="43" spans="1:12" ht="15.6" thickTop="1" thickBot="1" x14ac:dyDescent="0.35">
      <c r="A43" s="5">
        <v>1042</v>
      </c>
      <c r="B43" s="6" t="s">
        <v>17</v>
      </c>
      <c r="C43" s="6">
        <v>43</v>
      </c>
      <c r="D43" s="6" t="str">
        <f t="shared" si="4"/>
        <v>Junior</v>
      </c>
      <c r="E43" s="6" t="s">
        <v>77</v>
      </c>
      <c r="F43" s="6" t="s">
        <v>12</v>
      </c>
      <c r="G43" s="6">
        <v>31658</v>
      </c>
      <c r="H43" s="6" t="str">
        <f t="shared" si="3"/>
        <v>Low</v>
      </c>
      <c r="I43" s="6" t="s">
        <v>27</v>
      </c>
      <c r="J43" s="6">
        <v>8460344549</v>
      </c>
      <c r="K43" s="17">
        <f t="shared" si="5"/>
        <v>44700.92</v>
      </c>
      <c r="L43" s="18">
        <f t="shared" si="6"/>
        <v>41.27</v>
      </c>
    </row>
    <row r="44" spans="1:12" ht="15.6" thickTop="1" thickBot="1" x14ac:dyDescent="0.35">
      <c r="A44" s="5">
        <v>1043</v>
      </c>
      <c r="B44" s="6" t="s">
        <v>21</v>
      </c>
      <c r="C44" s="6">
        <v>31</v>
      </c>
      <c r="D44" s="6" t="str">
        <f t="shared" si="4"/>
        <v>Middle Age</v>
      </c>
      <c r="E44" s="6" t="s">
        <v>78</v>
      </c>
      <c r="F44" s="6" t="s">
        <v>117</v>
      </c>
      <c r="G44" s="6">
        <v>42657</v>
      </c>
      <c r="H44" s="6" t="str">
        <f t="shared" si="3"/>
        <v>Medium</v>
      </c>
      <c r="I44" s="6" t="s">
        <v>10</v>
      </c>
      <c r="J44" s="6">
        <v>8554179536</v>
      </c>
      <c r="K44" s="17">
        <f t="shared" si="5"/>
        <v>44925.79</v>
      </c>
      <c r="L44" s="18">
        <f t="shared" si="6"/>
        <v>41.24</v>
      </c>
    </row>
    <row r="45" spans="1:12" ht="15.6" thickTop="1" thickBot="1" x14ac:dyDescent="0.35">
      <c r="A45" s="5">
        <v>1044</v>
      </c>
      <c r="B45" s="6" t="s">
        <v>25</v>
      </c>
      <c r="C45" s="6">
        <v>59</v>
      </c>
      <c r="D45" s="6" t="str">
        <f t="shared" si="4"/>
        <v>Junior</v>
      </c>
      <c r="E45" s="7">
        <v>44016</v>
      </c>
      <c r="F45" s="6" t="s">
        <v>19</v>
      </c>
      <c r="G45" s="6">
        <v>62829</v>
      </c>
      <c r="H45" s="6" t="str">
        <f t="shared" si="3"/>
        <v>High</v>
      </c>
      <c r="I45" s="6" t="s">
        <v>13</v>
      </c>
      <c r="J45" s="6">
        <v>8064782176</v>
      </c>
      <c r="K45" s="17">
        <f t="shared" si="5"/>
        <v>44965.599999999999</v>
      </c>
      <c r="L45" s="18">
        <f t="shared" si="6"/>
        <v>41.42</v>
      </c>
    </row>
    <row r="46" spans="1:12" ht="15.6" thickTop="1" thickBot="1" x14ac:dyDescent="0.35">
      <c r="A46" s="5">
        <v>1045</v>
      </c>
      <c r="B46" s="6" t="s">
        <v>28</v>
      </c>
      <c r="C46" s="6">
        <v>23</v>
      </c>
      <c r="D46" s="6" t="str">
        <f t="shared" si="4"/>
        <v>Middle Age</v>
      </c>
      <c r="E46" s="7">
        <v>43750</v>
      </c>
      <c r="F46" s="6" t="s">
        <v>117</v>
      </c>
      <c r="G46" s="6">
        <v>63669</v>
      </c>
      <c r="H46" s="6" t="str">
        <f t="shared" si="3"/>
        <v>High</v>
      </c>
      <c r="I46" s="6" t="s">
        <v>16</v>
      </c>
      <c r="J46" s="6">
        <v>8684649540</v>
      </c>
      <c r="K46" s="17">
        <f t="shared" si="5"/>
        <v>44646.61</v>
      </c>
      <c r="L46" s="18">
        <f t="shared" si="6"/>
        <v>41.11</v>
      </c>
    </row>
    <row r="47" spans="1:12" ht="15.6" thickTop="1" thickBot="1" x14ac:dyDescent="0.35">
      <c r="A47" s="5">
        <v>1046</v>
      </c>
      <c r="B47" s="6" t="s">
        <v>30</v>
      </c>
      <c r="C47" s="6">
        <v>64</v>
      </c>
      <c r="D47" s="6" t="str">
        <f t="shared" si="4"/>
        <v>Senior</v>
      </c>
      <c r="E47" s="6" t="s">
        <v>79</v>
      </c>
      <c r="F47" s="6" t="s">
        <v>9</v>
      </c>
      <c r="G47" s="6">
        <v>45281</v>
      </c>
      <c r="H47" s="6" t="str">
        <f t="shared" si="3"/>
        <v>Medium</v>
      </c>
      <c r="I47" s="6" t="s">
        <v>20</v>
      </c>
      <c r="J47" s="6">
        <v>8890617225</v>
      </c>
      <c r="K47" s="17">
        <f t="shared" si="5"/>
        <v>44300.75</v>
      </c>
      <c r="L47" s="18">
        <f t="shared" si="6"/>
        <v>41.44</v>
      </c>
    </row>
    <row r="48" spans="1:12" ht="15.6" thickTop="1" thickBot="1" x14ac:dyDescent="0.35">
      <c r="A48" s="5">
        <v>1047</v>
      </c>
      <c r="B48" s="6" t="s">
        <v>32</v>
      </c>
      <c r="C48" s="6">
        <v>36</v>
      </c>
      <c r="D48" s="6" t="str">
        <f t="shared" si="4"/>
        <v>Junior</v>
      </c>
      <c r="E48" s="6" t="s">
        <v>80</v>
      </c>
      <c r="F48" s="6" t="s">
        <v>12</v>
      </c>
      <c r="G48" s="6">
        <v>69848</v>
      </c>
      <c r="H48" s="6" t="str">
        <f t="shared" si="3"/>
        <v>High</v>
      </c>
      <c r="I48" s="6" t="s">
        <v>24</v>
      </c>
      <c r="J48" s="6">
        <v>8497518826</v>
      </c>
      <c r="K48" s="17">
        <f t="shared" si="5"/>
        <v>44282.59</v>
      </c>
      <c r="L48" s="18">
        <f t="shared" si="6"/>
        <v>41.02</v>
      </c>
    </row>
    <row r="49" spans="1:12" ht="15.6" thickTop="1" thickBot="1" x14ac:dyDescent="0.35">
      <c r="A49" s="5">
        <v>1048</v>
      </c>
      <c r="B49" s="6" t="s">
        <v>33</v>
      </c>
      <c r="C49" s="6">
        <v>22</v>
      </c>
      <c r="D49" s="6" t="str">
        <f t="shared" si="4"/>
        <v>Junior</v>
      </c>
      <c r="E49" s="7">
        <v>44442</v>
      </c>
      <c r="F49" s="6" t="s">
        <v>15</v>
      </c>
      <c r="G49" s="6">
        <v>49894</v>
      </c>
      <c r="H49" s="6" t="str">
        <f t="shared" si="3"/>
        <v>Medium</v>
      </c>
      <c r="I49" s="6" t="s">
        <v>27</v>
      </c>
      <c r="J49" s="6">
        <v>8472841238</v>
      </c>
      <c r="K49" s="17">
        <f t="shared" si="5"/>
        <v>43800.23</v>
      </c>
      <c r="L49" s="18">
        <f t="shared" si="6"/>
        <v>41.11</v>
      </c>
    </row>
    <row r="50" spans="1:12" ht="15.6" thickTop="1" thickBot="1" x14ac:dyDescent="0.35">
      <c r="A50" s="5">
        <v>1049</v>
      </c>
      <c r="B50" s="6" t="s">
        <v>35</v>
      </c>
      <c r="C50" s="6">
        <v>38</v>
      </c>
      <c r="D50" s="6" t="str">
        <f t="shared" si="4"/>
        <v>Middle Age</v>
      </c>
      <c r="E50" s="6" t="s">
        <v>81</v>
      </c>
      <c r="F50" s="6" t="s">
        <v>19</v>
      </c>
      <c r="G50" s="6">
        <v>40839</v>
      </c>
      <c r="H50" s="6" t="str">
        <f t="shared" si="3"/>
        <v>Medium</v>
      </c>
      <c r="I50" s="6" t="s">
        <v>10</v>
      </c>
      <c r="J50" s="6">
        <v>8713180440</v>
      </c>
      <c r="K50" s="17">
        <f t="shared" si="5"/>
        <v>43683.040000000001</v>
      </c>
      <c r="L50" s="18">
        <f t="shared" si="6"/>
        <v>41.48</v>
      </c>
    </row>
    <row r="51" spans="1:12" ht="15.6" thickTop="1" thickBot="1" x14ac:dyDescent="0.35">
      <c r="A51" s="5">
        <v>1050</v>
      </c>
      <c r="B51" s="6" t="s">
        <v>36</v>
      </c>
      <c r="C51" s="6">
        <v>56</v>
      </c>
      <c r="D51" s="6" t="str">
        <f t="shared" si="4"/>
        <v>Middle Age</v>
      </c>
      <c r="E51" s="7">
        <v>44420</v>
      </c>
      <c r="F51" s="6" t="s">
        <v>23</v>
      </c>
      <c r="G51" s="6">
        <v>25790</v>
      </c>
      <c r="H51" s="6" t="str">
        <f t="shared" si="3"/>
        <v>Low</v>
      </c>
      <c r="I51" s="6" t="s">
        <v>13</v>
      </c>
      <c r="J51" s="6">
        <v>9550842050</v>
      </c>
      <c r="K51" s="17">
        <f t="shared" si="5"/>
        <v>43738.8</v>
      </c>
      <c r="L51" s="18">
        <f t="shared" si="6"/>
        <v>41.55</v>
      </c>
    </row>
    <row r="52" spans="1:12" ht="15.6" thickTop="1" thickBot="1" x14ac:dyDescent="0.35">
      <c r="A52" s="5">
        <v>1051</v>
      </c>
      <c r="B52" s="6" t="s">
        <v>38</v>
      </c>
      <c r="C52" s="6">
        <v>47</v>
      </c>
      <c r="D52" s="6" t="str">
        <f t="shared" si="4"/>
        <v>Middle Age</v>
      </c>
      <c r="E52" s="6" t="s">
        <v>82</v>
      </c>
      <c r="F52" s="6" t="s">
        <v>117</v>
      </c>
      <c r="G52" s="6">
        <v>25878</v>
      </c>
      <c r="H52" s="6" t="str">
        <f t="shared" si="3"/>
        <v>Low</v>
      </c>
      <c r="I52" s="6" t="s">
        <v>16</v>
      </c>
      <c r="J52" s="6">
        <v>8652496713</v>
      </c>
      <c r="K52" s="17">
        <f t="shared" si="5"/>
        <v>44097.78</v>
      </c>
      <c r="L52" s="18">
        <f t="shared" si="6"/>
        <v>41.26</v>
      </c>
    </row>
    <row r="53" spans="1:12" ht="15.6" thickTop="1" thickBot="1" x14ac:dyDescent="0.35">
      <c r="A53" s="5">
        <v>1052</v>
      </c>
      <c r="B53" s="6" t="s">
        <v>39</v>
      </c>
      <c r="C53" s="6">
        <v>42</v>
      </c>
      <c r="D53" s="6" t="str">
        <f t="shared" si="4"/>
        <v>Junior</v>
      </c>
      <c r="E53" s="6" t="s">
        <v>83</v>
      </c>
      <c r="F53" s="6" t="s">
        <v>12</v>
      </c>
      <c r="G53" s="6">
        <v>51164</v>
      </c>
      <c r="H53" s="6" t="str">
        <f t="shared" si="3"/>
        <v>Medium</v>
      </c>
      <c r="I53" s="6" t="s">
        <v>20</v>
      </c>
      <c r="J53" s="6">
        <v>9670495683</v>
      </c>
      <c r="K53" s="17">
        <f t="shared" si="5"/>
        <v>44469.61</v>
      </c>
      <c r="L53" s="18">
        <f t="shared" si="6"/>
        <v>41.14</v>
      </c>
    </row>
    <row r="54" spans="1:12" ht="15.6" thickTop="1" thickBot="1" x14ac:dyDescent="0.35">
      <c r="A54" s="5">
        <v>1053</v>
      </c>
      <c r="B54" s="6" t="s">
        <v>40</v>
      </c>
      <c r="C54" s="6">
        <v>33</v>
      </c>
      <c r="D54" s="6" t="str">
        <f t="shared" si="4"/>
        <v>Middle Age</v>
      </c>
      <c r="E54" s="6" t="s">
        <v>84</v>
      </c>
      <c r="F54" s="6" t="s">
        <v>15</v>
      </c>
      <c r="G54" s="6">
        <v>23950</v>
      </c>
      <c r="H54" s="6" t="str">
        <f t="shared" si="3"/>
        <v>Low</v>
      </c>
      <c r="I54" s="6" t="s">
        <v>24</v>
      </c>
      <c r="J54" s="6">
        <v>9402027533</v>
      </c>
      <c r="K54" s="17">
        <f t="shared" si="5"/>
        <v>44330.15</v>
      </c>
      <c r="L54" s="18">
        <f t="shared" si="6"/>
        <v>41.13</v>
      </c>
    </row>
    <row r="55" spans="1:12" ht="15.6" thickTop="1" thickBot="1" x14ac:dyDescent="0.35">
      <c r="A55" s="5">
        <v>1054</v>
      </c>
      <c r="B55" s="6" t="s">
        <v>42</v>
      </c>
      <c r="C55" s="6">
        <v>54</v>
      </c>
      <c r="D55" s="6" t="str">
        <f t="shared" si="4"/>
        <v>Middle Age</v>
      </c>
      <c r="E55" s="6" t="s">
        <v>85</v>
      </c>
      <c r="F55" s="6" t="s">
        <v>19</v>
      </c>
      <c r="G55" s="6">
        <v>57731</v>
      </c>
      <c r="H55" s="6" t="str">
        <f t="shared" si="3"/>
        <v>Medium</v>
      </c>
      <c r="I55" s="6" t="s">
        <v>27</v>
      </c>
      <c r="J55" s="6">
        <v>8090024500</v>
      </c>
      <c r="K55" s="17">
        <f t="shared" si="5"/>
        <v>44763.77</v>
      </c>
      <c r="L55" s="18">
        <f t="shared" si="6"/>
        <v>41.3</v>
      </c>
    </row>
    <row r="56" spans="1:12" ht="15.6" thickTop="1" thickBot="1" x14ac:dyDescent="0.35">
      <c r="A56" s="5">
        <v>1055</v>
      </c>
      <c r="B56" s="6" t="s">
        <v>44</v>
      </c>
      <c r="C56" s="6">
        <v>50</v>
      </c>
      <c r="D56" s="6" t="str">
        <f t="shared" si="4"/>
        <v>Middle Age</v>
      </c>
      <c r="E56" s="6" t="s">
        <v>86</v>
      </c>
      <c r="F56" s="6" t="s">
        <v>23</v>
      </c>
      <c r="G56" s="6">
        <v>37553</v>
      </c>
      <c r="H56" s="6" t="str">
        <f t="shared" si="3"/>
        <v>Low</v>
      </c>
      <c r="I56" s="6" t="s">
        <v>10</v>
      </c>
      <c r="J56" s="6">
        <v>8465341266</v>
      </c>
      <c r="K56" s="17">
        <f t="shared" si="5"/>
        <v>44481.87</v>
      </c>
      <c r="L56" s="18">
        <f t="shared" si="6"/>
        <v>41.02</v>
      </c>
    </row>
    <row r="57" spans="1:12" ht="15.6" thickTop="1" thickBot="1" x14ac:dyDescent="0.35">
      <c r="A57" s="5">
        <v>1056</v>
      </c>
      <c r="B57" s="6" t="s">
        <v>46</v>
      </c>
      <c r="C57" s="6">
        <v>41</v>
      </c>
      <c r="D57" s="6" t="str">
        <f t="shared" si="4"/>
        <v>Junior</v>
      </c>
      <c r="E57" s="6" t="s">
        <v>87</v>
      </c>
      <c r="F57" s="6" t="s">
        <v>9</v>
      </c>
      <c r="G57" s="6">
        <v>23189</v>
      </c>
      <c r="H57" s="6" t="str">
        <f t="shared" si="3"/>
        <v>Low</v>
      </c>
      <c r="I57" s="6" t="s">
        <v>13</v>
      </c>
      <c r="J57" s="6">
        <v>9658584008</v>
      </c>
      <c r="K57" s="17">
        <f t="shared" si="5"/>
        <v>44635.839999999997</v>
      </c>
      <c r="L57" s="18">
        <f t="shared" si="6"/>
        <v>40.82</v>
      </c>
    </row>
    <row r="58" spans="1:12" ht="15.6" thickTop="1" thickBot="1" x14ac:dyDescent="0.35">
      <c r="A58" s="5">
        <v>1057</v>
      </c>
      <c r="B58" s="6" t="s">
        <v>48</v>
      </c>
      <c r="C58" s="6">
        <v>27</v>
      </c>
      <c r="D58" s="6" t="str">
        <f t="shared" si="4"/>
        <v>Middle Age</v>
      </c>
      <c r="E58" s="7">
        <v>43776</v>
      </c>
      <c r="F58" s="6" t="s">
        <v>12</v>
      </c>
      <c r="G58" s="6">
        <v>50079</v>
      </c>
      <c r="H58" s="6" t="str">
        <f t="shared" si="3"/>
        <v>Medium</v>
      </c>
      <c r="I58" s="6" t="s">
        <v>16</v>
      </c>
      <c r="J58" s="6">
        <v>8701199135</v>
      </c>
      <c r="K58" s="17">
        <f t="shared" si="5"/>
        <v>45123.27</v>
      </c>
      <c r="L58" s="18">
        <f t="shared" si="6"/>
        <v>40.82</v>
      </c>
    </row>
    <row r="59" spans="1:12" ht="15.6" thickTop="1" thickBot="1" x14ac:dyDescent="0.35">
      <c r="A59" s="5">
        <v>1058</v>
      </c>
      <c r="B59" s="6" t="s">
        <v>50</v>
      </c>
      <c r="C59" s="6">
        <v>48</v>
      </c>
      <c r="D59" s="6" t="str">
        <f t="shared" si="4"/>
        <v>Junior</v>
      </c>
      <c r="E59" s="6" t="s">
        <v>88</v>
      </c>
      <c r="F59" s="6" t="s">
        <v>15</v>
      </c>
      <c r="G59" s="6">
        <v>24135</v>
      </c>
      <c r="H59" s="6" t="str">
        <f t="shared" si="3"/>
        <v>Low</v>
      </c>
      <c r="I59" s="6" t="s">
        <v>20</v>
      </c>
      <c r="J59" s="6">
        <v>9349839075</v>
      </c>
      <c r="K59" s="17">
        <f t="shared" si="5"/>
        <v>45008.02</v>
      </c>
      <c r="L59" s="18">
        <f t="shared" si="6"/>
        <v>41.14</v>
      </c>
    </row>
    <row r="60" spans="1:12" ht="15.6" thickTop="1" thickBot="1" x14ac:dyDescent="0.35">
      <c r="A60" s="5">
        <v>1059</v>
      </c>
      <c r="B60" s="6" t="s">
        <v>52</v>
      </c>
      <c r="C60" s="6">
        <v>30</v>
      </c>
      <c r="D60" s="6" t="str">
        <f t="shared" si="4"/>
        <v>Junior</v>
      </c>
      <c r="E60" s="6" t="s">
        <v>89</v>
      </c>
      <c r="F60" s="6" t="s">
        <v>19</v>
      </c>
      <c r="G60" s="6">
        <v>23934</v>
      </c>
      <c r="H60" s="6" t="str">
        <f t="shared" si="3"/>
        <v>Low</v>
      </c>
      <c r="I60" s="6" t="s">
        <v>24</v>
      </c>
      <c r="J60" s="6">
        <v>9138113583</v>
      </c>
      <c r="K60" s="17">
        <f t="shared" si="5"/>
        <v>45505</v>
      </c>
      <c r="L60" s="18">
        <f t="shared" si="6"/>
        <v>40.98</v>
      </c>
    </row>
    <row r="61" spans="1:12" ht="15.6" thickTop="1" thickBot="1" x14ac:dyDescent="0.35">
      <c r="A61" s="5">
        <v>1060</v>
      </c>
      <c r="B61" s="6" t="s">
        <v>54</v>
      </c>
      <c r="C61" s="6">
        <v>28</v>
      </c>
      <c r="D61" s="6" t="str">
        <f t="shared" si="4"/>
        <v>Junior</v>
      </c>
      <c r="E61" s="6" t="s">
        <v>90</v>
      </c>
      <c r="F61" s="6" t="s">
        <v>23</v>
      </c>
      <c r="G61" s="6">
        <v>68711</v>
      </c>
      <c r="H61" s="6" t="str">
        <f t="shared" si="3"/>
        <v>High</v>
      </c>
      <c r="I61" s="6" t="s">
        <v>27</v>
      </c>
      <c r="J61" s="6">
        <v>9886763358</v>
      </c>
      <c r="K61" s="17">
        <f t="shared" si="5"/>
        <v>46031.12</v>
      </c>
      <c r="L61" s="18">
        <f t="shared" si="6"/>
        <v>41.24</v>
      </c>
    </row>
    <row r="62" spans="1:12" ht="15.6" thickTop="1" thickBot="1" x14ac:dyDescent="0.35">
      <c r="A62" s="5">
        <v>1061</v>
      </c>
      <c r="B62" s="6" t="s">
        <v>55</v>
      </c>
      <c r="C62" s="6">
        <v>30</v>
      </c>
      <c r="D62" s="6" t="str">
        <f t="shared" si="4"/>
        <v>Middle Age</v>
      </c>
      <c r="E62" s="6" t="s">
        <v>91</v>
      </c>
      <c r="F62" s="6" t="s">
        <v>9</v>
      </c>
      <c r="G62" s="6">
        <v>30067</v>
      </c>
      <c r="H62" s="6" t="str">
        <f t="shared" si="3"/>
        <v>Low</v>
      </c>
      <c r="I62" s="6" t="s">
        <v>10</v>
      </c>
      <c r="J62" s="6">
        <v>8116085677</v>
      </c>
      <c r="K62" s="17">
        <f t="shared" si="5"/>
        <v>45464.13</v>
      </c>
      <c r="L62" s="18">
        <f t="shared" si="6"/>
        <v>41.58</v>
      </c>
    </row>
    <row r="63" spans="1:12" ht="15.6" thickTop="1" thickBot="1" x14ac:dyDescent="0.35">
      <c r="A63" s="5">
        <v>1062</v>
      </c>
      <c r="B63" s="6" t="s">
        <v>57</v>
      </c>
      <c r="C63" s="6">
        <v>43</v>
      </c>
      <c r="D63" s="6" t="str">
        <f t="shared" si="4"/>
        <v>Junior</v>
      </c>
      <c r="E63" s="7">
        <v>44896</v>
      </c>
      <c r="F63" s="6" t="s">
        <v>117</v>
      </c>
      <c r="G63" s="6">
        <v>36604</v>
      </c>
      <c r="H63" s="6" t="str">
        <f t="shared" si="3"/>
        <v>Low</v>
      </c>
      <c r="I63" s="6" t="s">
        <v>13</v>
      </c>
      <c r="J63" s="6">
        <v>8076675684</v>
      </c>
      <c r="K63" s="17">
        <f t="shared" si="5"/>
        <v>45858.92</v>
      </c>
      <c r="L63" s="18">
        <f t="shared" si="6"/>
        <v>41.87</v>
      </c>
    </row>
    <row r="64" spans="1:12" ht="15.6" thickTop="1" thickBot="1" x14ac:dyDescent="0.35">
      <c r="A64" s="5">
        <v>1063</v>
      </c>
      <c r="B64" s="6" t="s">
        <v>58</v>
      </c>
      <c r="C64" s="6">
        <v>39</v>
      </c>
      <c r="D64" s="6" t="str">
        <f t="shared" si="4"/>
        <v>Middle Age</v>
      </c>
      <c r="E64" s="6" t="s">
        <v>92</v>
      </c>
      <c r="F64" s="6" t="s">
        <v>15</v>
      </c>
      <c r="G64" s="6">
        <v>29717</v>
      </c>
      <c r="H64" s="6" t="str">
        <f t="shared" si="3"/>
        <v>Low</v>
      </c>
      <c r="I64" s="6" t="s">
        <v>16</v>
      </c>
      <c r="J64" s="6">
        <v>8988189673</v>
      </c>
      <c r="K64" s="17">
        <f t="shared" si="5"/>
        <v>46102.47</v>
      </c>
      <c r="L64" s="18">
        <f t="shared" si="6"/>
        <v>41.84</v>
      </c>
    </row>
    <row r="65" spans="1:12" ht="15.6" thickTop="1" thickBot="1" x14ac:dyDescent="0.35">
      <c r="A65" s="5">
        <v>1064</v>
      </c>
      <c r="B65" s="6" t="s">
        <v>60</v>
      </c>
      <c r="C65" s="6">
        <v>59</v>
      </c>
      <c r="D65" s="6" t="str">
        <f t="shared" si="4"/>
        <v>Middle Age</v>
      </c>
      <c r="E65" s="7">
        <v>45150</v>
      </c>
      <c r="F65" s="6" t="s">
        <v>19</v>
      </c>
      <c r="G65" s="6">
        <v>39949</v>
      </c>
      <c r="H65" s="6" t="str">
        <f t="shared" si="3"/>
        <v>Low</v>
      </c>
      <c r="I65" s="6" t="s">
        <v>20</v>
      </c>
      <c r="J65" s="6">
        <v>9292710949</v>
      </c>
      <c r="K65" s="17">
        <f t="shared" si="5"/>
        <v>46545.32</v>
      </c>
      <c r="L65" s="18">
        <f t="shared" si="6"/>
        <v>41.92</v>
      </c>
    </row>
    <row r="66" spans="1:12" ht="15.6" thickTop="1" thickBot="1" x14ac:dyDescent="0.35">
      <c r="A66" s="5">
        <v>1065</v>
      </c>
      <c r="B66" s="6" t="s">
        <v>61</v>
      </c>
      <c r="C66" s="6">
        <v>52</v>
      </c>
      <c r="D66" s="6" t="str">
        <f t="shared" ref="D66:D97" si="7">IF(C66&gt;=60,"Senior",IF(C67&gt;=40,"Middle Age","Junior"))</f>
        <v>Middle Age</v>
      </c>
      <c r="E66" s="6" t="s">
        <v>93</v>
      </c>
      <c r="F66" s="6" t="s">
        <v>23</v>
      </c>
      <c r="G66" s="6">
        <v>27482</v>
      </c>
      <c r="H66" s="6" t="str">
        <f t="shared" si="3"/>
        <v>Low</v>
      </c>
      <c r="I66" s="6" t="s">
        <v>24</v>
      </c>
      <c r="J66" s="6">
        <v>8588490084</v>
      </c>
      <c r="K66" s="17">
        <f t="shared" ref="K66:K97" si="8">ROUND(AVERAGE(G66:G165),2)</f>
        <v>46728.56</v>
      </c>
      <c r="L66" s="18">
        <f t="shared" ref="L66:L97" si="9">ROUND(AVERAGE(C66:C165),2)</f>
        <v>41.44</v>
      </c>
    </row>
    <row r="67" spans="1:12" ht="15.6" thickTop="1" thickBot="1" x14ac:dyDescent="0.35">
      <c r="A67" s="5">
        <v>1066</v>
      </c>
      <c r="B67" s="6" t="s">
        <v>63</v>
      </c>
      <c r="C67" s="6">
        <v>56</v>
      </c>
      <c r="D67" s="6" t="str">
        <f t="shared" si="7"/>
        <v>Middle Age</v>
      </c>
      <c r="E67" s="6" t="s">
        <v>94</v>
      </c>
      <c r="F67" s="6" t="s">
        <v>9</v>
      </c>
      <c r="G67" s="6">
        <v>67806</v>
      </c>
      <c r="H67" s="6" t="str">
        <f t="shared" ref="H67:H101" si="10">IF(G67&gt;60000,"High",IF(G67&gt;=40000,"Medium","Low"))</f>
        <v>High</v>
      </c>
      <c r="I67" s="6" t="s">
        <v>27</v>
      </c>
      <c r="J67" s="6">
        <v>8756644530</v>
      </c>
      <c r="K67" s="17">
        <f t="shared" si="8"/>
        <v>47278.46</v>
      </c>
      <c r="L67" s="18">
        <f t="shared" si="9"/>
        <v>41.14</v>
      </c>
    </row>
    <row r="68" spans="1:12" ht="15.6" thickTop="1" thickBot="1" x14ac:dyDescent="0.35">
      <c r="A68" s="5">
        <v>1067</v>
      </c>
      <c r="B68" s="6" t="s">
        <v>64</v>
      </c>
      <c r="C68" s="6">
        <v>52</v>
      </c>
      <c r="D68" s="6" t="str">
        <f t="shared" si="7"/>
        <v>Junior</v>
      </c>
      <c r="E68" s="6" t="s">
        <v>95</v>
      </c>
      <c r="F68" s="6" t="s">
        <v>12</v>
      </c>
      <c r="G68" s="6">
        <v>32878</v>
      </c>
      <c r="H68" s="6" t="str">
        <f t="shared" si="10"/>
        <v>Low</v>
      </c>
      <c r="I68" s="6" t="s">
        <v>10</v>
      </c>
      <c r="J68" s="6">
        <v>9122189072</v>
      </c>
      <c r="K68" s="17">
        <f t="shared" si="8"/>
        <v>46674.71</v>
      </c>
      <c r="L68" s="18">
        <f t="shared" si="9"/>
        <v>40.71</v>
      </c>
    </row>
    <row r="69" spans="1:12" ht="15.6" thickTop="1" thickBot="1" x14ac:dyDescent="0.35">
      <c r="A69" s="5">
        <v>1068</v>
      </c>
      <c r="B69" s="6" t="s">
        <v>65</v>
      </c>
      <c r="C69" s="6">
        <v>34</v>
      </c>
      <c r="D69" s="6" t="str">
        <f t="shared" si="7"/>
        <v>Middle Age</v>
      </c>
      <c r="E69" s="7">
        <v>43647</v>
      </c>
      <c r="F69" s="6" t="s">
        <v>15</v>
      </c>
      <c r="G69" s="6">
        <v>41830</v>
      </c>
      <c r="H69" s="6" t="str">
        <f t="shared" si="10"/>
        <v>Medium</v>
      </c>
      <c r="I69" s="6" t="s">
        <v>13</v>
      </c>
      <c r="J69" s="6">
        <v>9941461000</v>
      </c>
      <c r="K69" s="17">
        <f t="shared" si="8"/>
        <v>47092.79</v>
      </c>
      <c r="L69" s="18">
        <f t="shared" si="9"/>
        <v>40.36</v>
      </c>
    </row>
    <row r="70" spans="1:12" ht="15.6" thickTop="1" thickBot="1" x14ac:dyDescent="0.35">
      <c r="A70" s="5">
        <v>1069</v>
      </c>
      <c r="B70" s="6" t="s">
        <v>66</v>
      </c>
      <c r="C70" s="6">
        <v>53</v>
      </c>
      <c r="D70" s="6" t="str">
        <f t="shared" si="7"/>
        <v>Middle Age</v>
      </c>
      <c r="E70" s="7">
        <v>43772</v>
      </c>
      <c r="F70" s="6" t="s">
        <v>19</v>
      </c>
      <c r="G70" s="6">
        <v>46700</v>
      </c>
      <c r="H70" s="6" t="str">
        <f t="shared" si="10"/>
        <v>Medium</v>
      </c>
      <c r="I70" s="6" t="s">
        <v>16</v>
      </c>
      <c r="J70" s="6">
        <v>9404249566</v>
      </c>
      <c r="K70" s="17">
        <f t="shared" si="8"/>
        <v>47257.25</v>
      </c>
      <c r="L70" s="18">
        <f t="shared" si="9"/>
        <v>40.56</v>
      </c>
    </row>
    <row r="71" spans="1:12" ht="15.6" thickTop="1" thickBot="1" x14ac:dyDescent="0.35">
      <c r="A71" s="5">
        <v>1070</v>
      </c>
      <c r="B71" s="6" t="s">
        <v>67</v>
      </c>
      <c r="C71" s="6">
        <v>53</v>
      </c>
      <c r="D71" s="6" t="str">
        <f t="shared" si="7"/>
        <v>Junior</v>
      </c>
      <c r="E71" s="6" t="s">
        <v>96</v>
      </c>
      <c r="F71" s="6" t="s">
        <v>23</v>
      </c>
      <c r="G71" s="6">
        <v>60732</v>
      </c>
      <c r="H71" s="6" t="str">
        <f t="shared" si="10"/>
        <v>High</v>
      </c>
      <c r="I71" s="6" t="s">
        <v>20</v>
      </c>
      <c r="J71" s="6">
        <v>8382092023</v>
      </c>
      <c r="K71" s="17">
        <f t="shared" si="8"/>
        <v>47275.23</v>
      </c>
      <c r="L71" s="18">
        <f t="shared" si="9"/>
        <v>40.159999999999997</v>
      </c>
    </row>
    <row r="72" spans="1:12" ht="15.6" thickTop="1" thickBot="1" x14ac:dyDescent="0.35">
      <c r="A72" s="5">
        <v>1071</v>
      </c>
      <c r="B72" s="6" t="s">
        <v>69</v>
      </c>
      <c r="C72" s="6">
        <v>36</v>
      </c>
      <c r="D72" s="6" t="str">
        <f t="shared" si="7"/>
        <v>Junior</v>
      </c>
      <c r="E72" s="6" t="s">
        <v>97</v>
      </c>
      <c r="F72" s="6" t="s">
        <v>9</v>
      </c>
      <c r="G72" s="6">
        <v>64920</v>
      </c>
      <c r="H72" s="6" t="str">
        <f t="shared" si="10"/>
        <v>High</v>
      </c>
      <c r="I72" s="6" t="s">
        <v>24</v>
      </c>
      <c r="J72" s="6">
        <v>9297762344</v>
      </c>
      <c r="K72" s="17">
        <f t="shared" si="8"/>
        <v>46826.67</v>
      </c>
      <c r="L72" s="18">
        <f t="shared" si="9"/>
        <v>39.729999999999997</v>
      </c>
    </row>
    <row r="73" spans="1:12" ht="15.6" thickTop="1" thickBot="1" x14ac:dyDescent="0.35">
      <c r="A73" s="5">
        <v>1072</v>
      </c>
      <c r="B73" s="6" t="s">
        <v>70</v>
      </c>
      <c r="C73" s="6">
        <v>39</v>
      </c>
      <c r="D73" s="6" t="str">
        <f t="shared" si="7"/>
        <v>Junior</v>
      </c>
      <c r="E73" s="6" t="s">
        <v>98</v>
      </c>
      <c r="F73" s="6" t="s">
        <v>12</v>
      </c>
      <c r="G73" s="6">
        <v>63713</v>
      </c>
      <c r="H73" s="6" t="str">
        <f t="shared" si="10"/>
        <v>High</v>
      </c>
      <c r="I73" s="6" t="s">
        <v>27</v>
      </c>
      <c r="J73" s="6">
        <v>8691624689</v>
      </c>
      <c r="K73" s="17">
        <f t="shared" si="8"/>
        <v>46202.76</v>
      </c>
      <c r="L73" s="18">
        <f t="shared" si="9"/>
        <v>39.86</v>
      </c>
    </row>
    <row r="74" spans="1:12" ht="15.6" thickTop="1" thickBot="1" x14ac:dyDescent="0.35">
      <c r="A74" s="5">
        <v>1073</v>
      </c>
      <c r="B74" s="6" t="s">
        <v>71</v>
      </c>
      <c r="C74" s="6">
        <v>24</v>
      </c>
      <c r="D74" s="6" t="str">
        <f t="shared" si="7"/>
        <v>Middle Age</v>
      </c>
      <c r="E74" s="6" t="s">
        <v>22</v>
      </c>
      <c r="F74" s="6" t="s">
        <v>15</v>
      </c>
      <c r="G74" s="6">
        <v>56331</v>
      </c>
      <c r="H74" s="6" t="str">
        <f t="shared" si="10"/>
        <v>Medium</v>
      </c>
      <c r="I74" s="6" t="s">
        <v>10</v>
      </c>
      <c r="J74" s="6">
        <v>9589325707</v>
      </c>
      <c r="K74" s="17">
        <f t="shared" si="8"/>
        <v>45577.39</v>
      </c>
      <c r="L74" s="18">
        <f t="shared" si="9"/>
        <v>39.89</v>
      </c>
    </row>
    <row r="75" spans="1:12" ht="15.6" thickTop="1" thickBot="1" x14ac:dyDescent="0.35">
      <c r="A75" s="5">
        <v>1074</v>
      </c>
      <c r="B75" s="6" t="s">
        <v>72</v>
      </c>
      <c r="C75" s="6">
        <v>47</v>
      </c>
      <c r="D75" s="6" t="str">
        <f t="shared" si="7"/>
        <v>Middle Age</v>
      </c>
      <c r="E75" s="6" t="s">
        <v>99</v>
      </c>
      <c r="F75" s="6" t="s">
        <v>19</v>
      </c>
      <c r="G75" s="6">
        <v>28467</v>
      </c>
      <c r="H75" s="6" t="str">
        <f t="shared" si="10"/>
        <v>Low</v>
      </c>
      <c r="I75" s="6" t="s">
        <v>13</v>
      </c>
      <c r="J75" s="6">
        <v>8344974091</v>
      </c>
      <c r="K75" s="17">
        <f t="shared" si="8"/>
        <v>45179.11</v>
      </c>
      <c r="L75" s="18">
        <f t="shared" si="9"/>
        <v>40.479999999999997</v>
      </c>
    </row>
    <row r="76" spans="1:12" ht="15.6" thickTop="1" thickBot="1" x14ac:dyDescent="0.35">
      <c r="A76" s="5">
        <v>1075</v>
      </c>
      <c r="B76" s="6" t="s">
        <v>73</v>
      </c>
      <c r="C76" s="6">
        <v>51</v>
      </c>
      <c r="D76" s="6" t="str">
        <f t="shared" si="7"/>
        <v>Middle Age</v>
      </c>
      <c r="E76" s="6" t="s">
        <v>100</v>
      </c>
      <c r="F76" s="6" t="s">
        <v>23</v>
      </c>
      <c r="G76" s="6">
        <v>31885</v>
      </c>
      <c r="H76" s="6" t="str">
        <f t="shared" si="10"/>
        <v>Low</v>
      </c>
      <c r="I76" s="6" t="s">
        <v>16</v>
      </c>
      <c r="J76" s="6">
        <v>9621747304</v>
      </c>
      <c r="K76" s="17">
        <f t="shared" si="8"/>
        <v>45821.88</v>
      </c>
      <c r="L76" s="18">
        <f t="shared" si="9"/>
        <v>40.229999999999997</v>
      </c>
    </row>
    <row r="77" spans="1:12" ht="15.6" thickTop="1" thickBot="1" x14ac:dyDescent="0.35">
      <c r="A77" s="5">
        <v>1076</v>
      </c>
      <c r="B77" s="6" t="s">
        <v>74</v>
      </c>
      <c r="C77" s="6">
        <v>52</v>
      </c>
      <c r="D77" s="6" t="str">
        <f t="shared" si="7"/>
        <v>Junior</v>
      </c>
      <c r="E77" s="6" t="s">
        <v>101</v>
      </c>
      <c r="F77" s="6" t="s">
        <v>9</v>
      </c>
      <c r="G77" s="6">
        <v>40493</v>
      </c>
      <c r="H77" s="6" t="str">
        <f t="shared" si="10"/>
        <v>Medium</v>
      </c>
      <c r="I77" s="6" t="s">
        <v>20</v>
      </c>
      <c r="J77" s="6">
        <v>8858304505</v>
      </c>
      <c r="K77" s="17">
        <f t="shared" si="8"/>
        <v>46379.360000000001</v>
      </c>
      <c r="L77" s="18">
        <f t="shared" si="9"/>
        <v>39.799999999999997</v>
      </c>
    </row>
    <row r="78" spans="1:12" ht="15.6" thickTop="1" thickBot="1" x14ac:dyDescent="0.35">
      <c r="A78" s="5">
        <v>1077</v>
      </c>
      <c r="B78" s="6" t="s">
        <v>8</v>
      </c>
      <c r="C78" s="6">
        <v>23</v>
      </c>
      <c r="D78" s="6" t="str">
        <f t="shared" si="7"/>
        <v>Junior</v>
      </c>
      <c r="E78" s="7">
        <v>43717</v>
      </c>
      <c r="F78" s="6" t="s">
        <v>12</v>
      </c>
      <c r="G78" s="6">
        <v>69010</v>
      </c>
      <c r="H78" s="6" t="str">
        <f t="shared" si="10"/>
        <v>High</v>
      </c>
      <c r="I78" s="6" t="s">
        <v>24</v>
      </c>
      <c r="J78" s="6">
        <v>8281884627</v>
      </c>
      <c r="K78" s="17">
        <f t="shared" si="8"/>
        <v>46624.63</v>
      </c>
      <c r="L78" s="18">
        <f t="shared" si="9"/>
        <v>39.29</v>
      </c>
    </row>
    <row r="79" spans="1:12" ht="15.6" thickTop="1" thickBot="1" x14ac:dyDescent="0.35">
      <c r="A79" s="5">
        <v>1078</v>
      </c>
      <c r="B79" s="6" t="s">
        <v>11</v>
      </c>
      <c r="C79" s="6">
        <v>30</v>
      </c>
      <c r="D79" s="6" t="str">
        <f t="shared" si="7"/>
        <v>Middle Age</v>
      </c>
      <c r="E79" s="7">
        <v>44776</v>
      </c>
      <c r="F79" s="6" t="s">
        <v>15</v>
      </c>
      <c r="G79" s="6">
        <v>26965</v>
      </c>
      <c r="H79" s="6" t="str">
        <f t="shared" si="10"/>
        <v>Low</v>
      </c>
      <c r="I79" s="6" t="s">
        <v>27</v>
      </c>
      <c r="J79" s="6">
        <v>9904455974</v>
      </c>
      <c r="K79" s="17">
        <f t="shared" si="8"/>
        <v>45651.35</v>
      </c>
      <c r="L79" s="18">
        <f t="shared" si="9"/>
        <v>40</v>
      </c>
    </row>
    <row r="80" spans="1:12" ht="15.6" thickTop="1" thickBot="1" x14ac:dyDescent="0.35">
      <c r="A80" s="5">
        <v>1079</v>
      </c>
      <c r="B80" s="6" t="s">
        <v>14</v>
      </c>
      <c r="C80" s="6">
        <v>46</v>
      </c>
      <c r="D80" s="6" t="str">
        <f t="shared" si="7"/>
        <v>Middle Age</v>
      </c>
      <c r="E80" s="6" t="s">
        <v>102</v>
      </c>
      <c r="F80" s="6" t="s">
        <v>19</v>
      </c>
      <c r="G80" s="6">
        <v>41420</v>
      </c>
      <c r="H80" s="6" t="str">
        <f t="shared" si="10"/>
        <v>Medium</v>
      </c>
      <c r="I80" s="6" t="s">
        <v>10</v>
      </c>
      <c r="J80" s="6">
        <v>8047089665</v>
      </c>
      <c r="K80" s="17">
        <f t="shared" si="8"/>
        <v>46500.73</v>
      </c>
      <c r="L80" s="18">
        <f t="shared" si="9"/>
        <v>40.450000000000003</v>
      </c>
    </row>
    <row r="81" spans="1:12" ht="15.6" thickTop="1" thickBot="1" x14ac:dyDescent="0.35">
      <c r="A81" s="5">
        <v>1080</v>
      </c>
      <c r="B81" s="6" t="s">
        <v>17</v>
      </c>
      <c r="C81" s="6">
        <v>45</v>
      </c>
      <c r="D81" s="6" t="str">
        <f t="shared" si="7"/>
        <v>Middle Age</v>
      </c>
      <c r="E81" s="6" t="s">
        <v>103</v>
      </c>
      <c r="F81" s="6" t="s">
        <v>23</v>
      </c>
      <c r="G81" s="6">
        <v>69136</v>
      </c>
      <c r="H81" s="6" t="str">
        <f t="shared" si="10"/>
        <v>High</v>
      </c>
      <c r="I81" s="6" t="s">
        <v>13</v>
      </c>
      <c r="J81" s="6">
        <v>9952183106</v>
      </c>
      <c r="K81" s="17">
        <f t="shared" si="8"/>
        <v>46742.67</v>
      </c>
      <c r="L81" s="18">
        <f t="shared" si="9"/>
        <v>40.19</v>
      </c>
    </row>
    <row r="82" spans="1:12" ht="15.6" thickTop="1" thickBot="1" x14ac:dyDescent="0.35">
      <c r="A82" s="5">
        <v>1081</v>
      </c>
      <c r="B82" s="6" t="s">
        <v>21</v>
      </c>
      <c r="C82" s="6">
        <v>50</v>
      </c>
      <c r="D82" s="6" t="str">
        <f t="shared" si="7"/>
        <v>Junior</v>
      </c>
      <c r="E82" s="6" t="s">
        <v>104</v>
      </c>
      <c r="F82" s="6" t="s">
        <v>9</v>
      </c>
      <c r="G82" s="6">
        <v>32601</v>
      </c>
      <c r="H82" s="6" t="str">
        <f t="shared" si="10"/>
        <v>Low</v>
      </c>
      <c r="I82" s="6" t="s">
        <v>16</v>
      </c>
      <c r="J82" s="6">
        <v>9417086595</v>
      </c>
      <c r="K82" s="17">
        <f t="shared" si="8"/>
        <v>45623</v>
      </c>
      <c r="L82" s="18">
        <f t="shared" si="9"/>
        <v>39.950000000000003</v>
      </c>
    </row>
    <row r="83" spans="1:12" ht="15.6" thickTop="1" thickBot="1" x14ac:dyDescent="0.35">
      <c r="A83" s="5">
        <v>1082</v>
      </c>
      <c r="B83" s="6" t="s">
        <v>25</v>
      </c>
      <c r="C83" s="6">
        <v>19</v>
      </c>
      <c r="D83" s="6" t="str">
        <f t="shared" si="7"/>
        <v>Middle Age</v>
      </c>
      <c r="E83" s="7">
        <v>45088</v>
      </c>
      <c r="F83" s="6" t="s">
        <v>12</v>
      </c>
      <c r="G83" s="6">
        <v>38380</v>
      </c>
      <c r="H83" s="6" t="str">
        <f t="shared" si="10"/>
        <v>Low</v>
      </c>
      <c r="I83" s="6" t="s">
        <v>20</v>
      </c>
      <c r="J83" s="6">
        <v>9401508050</v>
      </c>
      <c r="K83" s="17">
        <f t="shared" si="8"/>
        <v>46308.37</v>
      </c>
      <c r="L83" s="18">
        <f t="shared" si="9"/>
        <v>39.42</v>
      </c>
    </row>
    <row r="84" spans="1:12" ht="15.6" thickTop="1" thickBot="1" x14ac:dyDescent="0.35">
      <c r="A84" s="5">
        <v>1083</v>
      </c>
      <c r="B84" s="6" t="s">
        <v>28</v>
      </c>
      <c r="C84" s="6">
        <v>56</v>
      </c>
      <c r="D84" s="6" t="str">
        <f t="shared" si="7"/>
        <v>Middle Age</v>
      </c>
      <c r="E84" s="6" t="s">
        <v>105</v>
      </c>
      <c r="F84" s="6" t="s">
        <v>15</v>
      </c>
      <c r="G84" s="6">
        <v>49149</v>
      </c>
      <c r="H84" s="6" t="str">
        <f t="shared" si="10"/>
        <v>Medium</v>
      </c>
      <c r="I84" s="6" t="s">
        <v>24</v>
      </c>
      <c r="J84" s="6">
        <v>9475427443</v>
      </c>
      <c r="K84" s="17">
        <f t="shared" si="8"/>
        <v>46748.83</v>
      </c>
      <c r="L84" s="18">
        <f t="shared" si="9"/>
        <v>40.56</v>
      </c>
    </row>
    <row r="85" spans="1:12" ht="15.6" thickTop="1" thickBot="1" x14ac:dyDescent="0.35">
      <c r="A85" s="5">
        <v>1084</v>
      </c>
      <c r="B85" s="6" t="s">
        <v>30</v>
      </c>
      <c r="C85" s="6">
        <v>41</v>
      </c>
      <c r="D85" s="6" t="str">
        <f t="shared" si="7"/>
        <v>Middle Age</v>
      </c>
      <c r="E85" s="6" t="s">
        <v>106</v>
      </c>
      <c r="F85" s="6" t="s">
        <v>19</v>
      </c>
      <c r="G85" s="6">
        <v>58502</v>
      </c>
      <c r="H85" s="6" t="str">
        <f t="shared" si="10"/>
        <v>Medium</v>
      </c>
      <c r="I85" s="6" t="s">
        <v>27</v>
      </c>
      <c r="J85" s="6">
        <v>9015401235</v>
      </c>
      <c r="K85" s="17">
        <f t="shared" si="8"/>
        <v>46607.65</v>
      </c>
      <c r="L85" s="18">
        <f t="shared" si="9"/>
        <v>39.65</v>
      </c>
    </row>
    <row r="86" spans="1:12" ht="15.6" thickTop="1" thickBot="1" x14ac:dyDescent="0.35">
      <c r="A86" s="5">
        <v>1085</v>
      </c>
      <c r="B86" s="6" t="s">
        <v>32</v>
      </c>
      <c r="C86" s="6">
        <v>64</v>
      </c>
      <c r="D86" s="6" t="str">
        <f t="shared" si="7"/>
        <v>Senior</v>
      </c>
      <c r="E86" s="7">
        <v>44967</v>
      </c>
      <c r="F86" s="6" t="s">
        <v>23</v>
      </c>
      <c r="G86" s="6">
        <v>31779</v>
      </c>
      <c r="H86" s="6" t="str">
        <f t="shared" si="10"/>
        <v>Low</v>
      </c>
      <c r="I86" s="6" t="s">
        <v>10</v>
      </c>
      <c r="J86" s="6">
        <v>9535791105</v>
      </c>
      <c r="K86" s="17">
        <f t="shared" si="8"/>
        <v>45864.25</v>
      </c>
      <c r="L86" s="18">
        <f t="shared" si="9"/>
        <v>39.56</v>
      </c>
    </row>
    <row r="87" spans="1:12" ht="15.6" thickTop="1" thickBot="1" x14ac:dyDescent="0.35">
      <c r="A87" s="5">
        <v>1086</v>
      </c>
      <c r="B87" s="6" t="s">
        <v>33</v>
      </c>
      <c r="C87" s="6">
        <v>37</v>
      </c>
      <c r="D87" s="6" t="str">
        <f t="shared" si="7"/>
        <v>Junior</v>
      </c>
      <c r="E87" s="7">
        <v>43775</v>
      </c>
      <c r="F87" s="6" t="s">
        <v>9</v>
      </c>
      <c r="G87" s="6">
        <v>46016</v>
      </c>
      <c r="H87" s="6" t="str">
        <f t="shared" si="10"/>
        <v>Medium</v>
      </c>
      <c r="I87" s="6" t="s">
        <v>13</v>
      </c>
      <c r="J87" s="6">
        <v>9206727762</v>
      </c>
      <c r="K87" s="17">
        <f t="shared" si="8"/>
        <v>46803.27</v>
      </c>
      <c r="L87" s="18">
        <f t="shared" si="9"/>
        <v>37.93</v>
      </c>
    </row>
    <row r="88" spans="1:12" ht="15.6" thickTop="1" thickBot="1" x14ac:dyDescent="0.35">
      <c r="A88" s="5">
        <v>1087</v>
      </c>
      <c r="B88" s="6" t="s">
        <v>35</v>
      </c>
      <c r="C88" s="6">
        <v>35</v>
      </c>
      <c r="D88" s="6" t="str">
        <f t="shared" si="7"/>
        <v>Junior</v>
      </c>
      <c r="E88" s="7">
        <v>44840</v>
      </c>
      <c r="F88" s="6" t="s">
        <v>12</v>
      </c>
      <c r="G88" s="6">
        <v>26537</v>
      </c>
      <c r="H88" s="6" t="str">
        <f t="shared" si="10"/>
        <v>Low</v>
      </c>
      <c r="I88" s="6" t="s">
        <v>16</v>
      </c>
      <c r="J88" s="6">
        <v>9693700782</v>
      </c>
      <c r="K88" s="17">
        <f t="shared" si="8"/>
        <v>46859.5</v>
      </c>
      <c r="L88" s="18">
        <f t="shared" si="9"/>
        <v>38</v>
      </c>
    </row>
    <row r="89" spans="1:12" ht="15.6" thickTop="1" thickBot="1" x14ac:dyDescent="0.35">
      <c r="A89" s="5">
        <v>1088</v>
      </c>
      <c r="B89" s="6" t="s">
        <v>36</v>
      </c>
      <c r="C89" s="6">
        <v>19</v>
      </c>
      <c r="D89" s="6" t="str">
        <f t="shared" si="7"/>
        <v>Middle Age</v>
      </c>
      <c r="E89" s="7">
        <v>45110</v>
      </c>
      <c r="F89" s="6" t="s">
        <v>15</v>
      </c>
      <c r="G89" s="6">
        <v>22811</v>
      </c>
      <c r="H89" s="6" t="str">
        <f t="shared" si="10"/>
        <v>Low</v>
      </c>
      <c r="I89" s="6" t="s">
        <v>20</v>
      </c>
      <c r="J89" s="6">
        <v>9170643766</v>
      </c>
      <c r="K89" s="17">
        <f t="shared" si="8"/>
        <v>48422.77</v>
      </c>
      <c r="L89" s="18">
        <f t="shared" si="9"/>
        <v>38.229999999999997</v>
      </c>
    </row>
    <row r="90" spans="1:12" ht="15.6" thickTop="1" thickBot="1" x14ac:dyDescent="0.35">
      <c r="A90" s="5">
        <v>1089</v>
      </c>
      <c r="B90" s="6" t="s">
        <v>38</v>
      </c>
      <c r="C90" s="6">
        <v>64</v>
      </c>
      <c r="D90" s="6" t="str">
        <f t="shared" si="7"/>
        <v>Senior</v>
      </c>
      <c r="E90" s="6" t="s">
        <v>107</v>
      </c>
      <c r="F90" s="6" t="s">
        <v>19</v>
      </c>
      <c r="G90" s="6">
        <v>38370</v>
      </c>
      <c r="H90" s="6" t="str">
        <f t="shared" si="10"/>
        <v>Low</v>
      </c>
      <c r="I90" s="6" t="s">
        <v>24</v>
      </c>
      <c r="J90" s="6">
        <v>9224717289</v>
      </c>
      <c r="K90" s="17">
        <f t="shared" si="8"/>
        <v>50557.08</v>
      </c>
      <c r="L90" s="18">
        <f t="shared" si="9"/>
        <v>39.83</v>
      </c>
    </row>
    <row r="91" spans="1:12" ht="15.6" thickTop="1" thickBot="1" x14ac:dyDescent="0.35">
      <c r="A91" s="5">
        <v>1090</v>
      </c>
      <c r="B91" s="6" t="s">
        <v>39</v>
      </c>
      <c r="C91" s="6">
        <v>60</v>
      </c>
      <c r="D91" s="6" t="str">
        <f t="shared" si="7"/>
        <v>Senior</v>
      </c>
      <c r="E91" s="6" t="s">
        <v>108</v>
      </c>
      <c r="F91" s="6" t="s">
        <v>23</v>
      </c>
      <c r="G91" s="6">
        <v>53983</v>
      </c>
      <c r="H91" s="6" t="str">
        <f t="shared" si="10"/>
        <v>Medium</v>
      </c>
      <c r="I91" s="6" t="s">
        <v>27</v>
      </c>
      <c r="J91" s="6">
        <v>8032869699</v>
      </c>
      <c r="K91" s="17">
        <f t="shared" si="8"/>
        <v>51665</v>
      </c>
      <c r="L91" s="18">
        <f t="shared" si="9"/>
        <v>37.64</v>
      </c>
    </row>
    <row r="92" spans="1:12" ht="15.6" thickTop="1" thickBot="1" x14ac:dyDescent="0.35">
      <c r="A92" s="5">
        <v>1091</v>
      </c>
      <c r="B92" s="6" t="s">
        <v>40</v>
      </c>
      <c r="C92" s="6">
        <v>30</v>
      </c>
      <c r="D92" s="6" t="str">
        <f t="shared" si="7"/>
        <v>Junior</v>
      </c>
      <c r="E92" s="6" t="s">
        <v>109</v>
      </c>
      <c r="F92" s="6" t="s">
        <v>9</v>
      </c>
      <c r="G92" s="6">
        <v>54137</v>
      </c>
      <c r="H92" s="6" t="str">
        <f t="shared" si="10"/>
        <v>Medium</v>
      </c>
      <c r="I92" s="6" t="s">
        <v>10</v>
      </c>
      <c r="J92" s="6">
        <v>9409194912</v>
      </c>
      <c r="K92" s="17">
        <f t="shared" si="8"/>
        <v>51433.2</v>
      </c>
      <c r="L92" s="18">
        <f t="shared" si="9"/>
        <v>35.4</v>
      </c>
    </row>
    <row r="93" spans="1:12" ht="15.6" thickTop="1" thickBot="1" x14ac:dyDescent="0.35">
      <c r="A93" s="5">
        <v>1092</v>
      </c>
      <c r="B93" s="6" t="s">
        <v>42</v>
      </c>
      <c r="C93" s="6">
        <v>32</v>
      </c>
      <c r="D93" s="6" t="str">
        <f t="shared" si="7"/>
        <v>Junior</v>
      </c>
      <c r="E93" s="6" t="s">
        <v>110</v>
      </c>
      <c r="F93" s="6" t="s">
        <v>12</v>
      </c>
      <c r="G93" s="6">
        <v>58899</v>
      </c>
      <c r="H93" s="6" t="str">
        <f t="shared" si="10"/>
        <v>Medium</v>
      </c>
      <c r="I93" s="6" t="s">
        <v>13</v>
      </c>
      <c r="J93" s="6">
        <v>9190465034</v>
      </c>
      <c r="K93" s="17">
        <f t="shared" si="8"/>
        <v>51132.78</v>
      </c>
      <c r="L93" s="18">
        <f t="shared" si="9"/>
        <v>36</v>
      </c>
    </row>
    <row r="94" spans="1:12" ht="15.6" thickTop="1" thickBot="1" x14ac:dyDescent="0.35">
      <c r="A94" s="5">
        <v>1093</v>
      </c>
      <c r="B94" s="6" t="s">
        <v>44</v>
      </c>
      <c r="C94" s="6">
        <v>30</v>
      </c>
      <c r="D94" s="6" t="str">
        <f t="shared" si="7"/>
        <v>Junior</v>
      </c>
      <c r="E94" s="6" t="s">
        <v>111</v>
      </c>
      <c r="F94" s="6" t="s">
        <v>15</v>
      </c>
      <c r="G94" s="6">
        <v>52705</v>
      </c>
      <c r="H94" s="6" t="str">
        <f t="shared" si="10"/>
        <v>Medium</v>
      </c>
      <c r="I94" s="6" t="s">
        <v>16</v>
      </c>
      <c r="J94" s="6">
        <v>8965689033</v>
      </c>
      <c r="K94" s="17">
        <f t="shared" si="8"/>
        <v>50162</v>
      </c>
      <c r="L94" s="18">
        <f t="shared" si="9"/>
        <v>36.5</v>
      </c>
    </row>
    <row r="95" spans="1:12" ht="15.6" thickTop="1" thickBot="1" x14ac:dyDescent="0.35">
      <c r="A95" s="5">
        <v>1094</v>
      </c>
      <c r="B95" s="6" t="s">
        <v>46</v>
      </c>
      <c r="C95" s="6">
        <v>32</v>
      </c>
      <c r="D95" s="6" t="str">
        <f t="shared" si="7"/>
        <v>Middle Age</v>
      </c>
      <c r="E95" s="7">
        <v>43834</v>
      </c>
      <c r="F95" s="6" t="s">
        <v>19</v>
      </c>
      <c r="G95" s="6">
        <v>62372</v>
      </c>
      <c r="H95" s="6" t="str">
        <f t="shared" si="10"/>
        <v>High</v>
      </c>
      <c r="I95" s="6" t="s">
        <v>20</v>
      </c>
      <c r="J95" s="6">
        <v>9454605082</v>
      </c>
      <c r="K95" s="17">
        <f t="shared" si="8"/>
        <v>49798.71</v>
      </c>
      <c r="L95" s="18">
        <f t="shared" si="9"/>
        <v>37.43</v>
      </c>
    </row>
    <row r="96" spans="1:12" ht="15.6" thickTop="1" thickBot="1" x14ac:dyDescent="0.35">
      <c r="A96" s="5">
        <v>1095</v>
      </c>
      <c r="B96" s="6" t="s">
        <v>48</v>
      </c>
      <c r="C96" s="6">
        <v>44</v>
      </c>
      <c r="D96" s="6" t="str">
        <f t="shared" si="7"/>
        <v>Junior</v>
      </c>
      <c r="E96" s="7">
        <v>44806</v>
      </c>
      <c r="F96" s="6" t="s">
        <v>23</v>
      </c>
      <c r="G96" s="6">
        <v>67981</v>
      </c>
      <c r="H96" s="6" t="str">
        <f t="shared" si="10"/>
        <v>High</v>
      </c>
      <c r="I96" s="6" t="s">
        <v>24</v>
      </c>
      <c r="J96" s="6">
        <v>9190101044</v>
      </c>
      <c r="K96" s="17">
        <f t="shared" si="8"/>
        <v>47703.17</v>
      </c>
      <c r="L96" s="18">
        <f t="shared" si="9"/>
        <v>38.33</v>
      </c>
    </row>
    <row r="97" spans="1:12" ht="15.6" thickTop="1" thickBot="1" x14ac:dyDescent="0.35">
      <c r="A97" s="5">
        <v>1096</v>
      </c>
      <c r="B97" s="6" t="s">
        <v>50</v>
      </c>
      <c r="C97" s="6">
        <v>29</v>
      </c>
      <c r="D97" s="6" t="str">
        <f t="shared" si="7"/>
        <v>Junior</v>
      </c>
      <c r="E97" s="6" t="s">
        <v>112</v>
      </c>
      <c r="F97" s="6" t="s">
        <v>9</v>
      </c>
      <c r="G97" s="6">
        <v>63801</v>
      </c>
      <c r="H97" s="6" t="str">
        <f t="shared" si="10"/>
        <v>High</v>
      </c>
      <c r="I97" s="6" t="s">
        <v>27</v>
      </c>
      <c r="J97" s="6">
        <v>8599236851</v>
      </c>
      <c r="K97" s="17">
        <f t="shared" si="8"/>
        <v>43647.6</v>
      </c>
      <c r="L97" s="18">
        <f t="shared" si="9"/>
        <v>37.200000000000003</v>
      </c>
    </row>
    <row r="98" spans="1:12" ht="15.6" thickTop="1" thickBot="1" x14ac:dyDescent="0.35">
      <c r="A98" s="5">
        <v>1097</v>
      </c>
      <c r="B98" s="6" t="s">
        <v>52</v>
      </c>
      <c r="C98" s="6">
        <v>30</v>
      </c>
      <c r="D98" s="6" t="str">
        <f t="shared" ref="D98:D129" si="11">IF(C98&gt;=60,"Senior",IF(C99&gt;=40,"Middle Age","Junior"))</f>
        <v>Junior</v>
      </c>
      <c r="E98" s="6" t="s">
        <v>113</v>
      </c>
      <c r="F98" s="6" t="s">
        <v>12</v>
      </c>
      <c r="G98" s="6">
        <v>37059</v>
      </c>
      <c r="H98" s="6" t="str">
        <f t="shared" si="10"/>
        <v>Low</v>
      </c>
      <c r="I98" s="6" t="s">
        <v>10</v>
      </c>
      <c r="J98" s="6">
        <v>9327002554</v>
      </c>
      <c r="K98" s="17">
        <f t="shared" ref="K98:K129" si="12">ROUND(AVERAGE(G98:G197),2)</f>
        <v>38609.25</v>
      </c>
      <c r="L98" s="18">
        <f t="shared" ref="L98:L129" si="13">ROUND(AVERAGE(C98:C197),2)</f>
        <v>39.25</v>
      </c>
    </row>
    <row r="99" spans="1:12" ht="15.6" thickTop="1" thickBot="1" x14ac:dyDescent="0.35">
      <c r="A99" s="5">
        <v>1098</v>
      </c>
      <c r="B99" s="6" t="s">
        <v>54</v>
      </c>
      <c r="C99" s="6">
        <v>32</v>
      </c>
      <c r="D99" s="6" t="str">
        <f t="shared" si="11"/>
        <v>Middle Age</v>
      </c>
      <c r="E99" s="6" t="s">
        <v>114</v>
      </c>
      <c r="F99" s="6" t="s">
        <v>15</v>
      </c>
      <c r="G99" s="6">
        <v>55653</v>
      </c>
      <c r="H99" s="6" t="str">
        <f t="shared" si="10"/>
        <v>Medium</v>
      </c>
      <c r="I99" s="6" t="s">
        <v>13</v>
      </c>
      <c r="J99" s="6">
        <v>8342008192</v>
      </c>
      <c r="K99" s="17">
        <f t="shared" si="12"/>
        <v>39126</v>
      </c>
      <c r="L99" s="18">
        <f t="shared" si="13"/>
        <v>42.33</v>
      </c>
    </row>
    <row r="100" spans="1:12" ht="15.6" thickTop="1" thickBot="1" x14ac:dyDescent="0.35">
      <c r="A100" s="5">
        <v>1099</v>
      </c>
      <c r="B100" s="6" t="s">
        <v>55</v>
      </c>
      <c r="C100" s="6">
        <v>49</v>
      </c>
      <c r="D100" s="6" t="str">
        <f t="shared" si="11"/>
        <v>Middle Age</v>
      </c>
      <c r="E100" s="6" t="s">
        <v>115</v>
      </c>
      <c r="F100" s="6" t="s">
        <v>19</v>
      </c>
      <c r="G100" s="6">
        <v>28465</v>
      </c>
      <c r="H100" s="6" t="str">
        <f t="shared" si="10"/>
        <v>Low</v>
      </c>
      <c r="I100" s="6" t="s">
        <v>16</v>
      </c>
      <c r="J100" s="6">
        <v>8842494426</v>
      </c>
      <c r="K100" s="17">
        <f t="shared" si="12"/>
        <v>30862.5</v>
      </c>
      <c r="L100" s="18">
        <f t="shared" si="13"/>
        <v>47.5</v>
      </c>
    </row>
    <row r="101" spans="1:12" ht="15.6" thickTop="1" thickBot="1" x14ac:dyDescent="0.35">
      <c r="A101" s="8">
        <v>1100</v>
      </c>
      <c r="B101" s="9" t="s">
        <v>57</v>
      </c>
      <c r="C101" s="9">
        <v>46</v>
      </c>
      <c r="D101" s="9" t="str">
        <f t="shared" si="11"/>
        <v>Junior</v>
      </c>
      <c r="E101" s="9" t="s">
        <v>116</v>
      </c>
      <c r="F101" s="9" t="s">
        <v>23</v>
      </c>
      <c r="G101" s="9">
        <v>33260</v>
      </c>
      <c r="H101" s="9" t="str">
        <f t="shared" si="10"/>
        <v>Low</v>
      </c>
      <c r="I101" s="9" t="s">
        <v>20</v>
      </c>
      <c r="J101" s="9">
        <v>9558051689</v>
      </c>
      <c r="K101" s="17">
        <f t="shared" si="12"/>
        <v>33260</v>
      </c>
      <c r="L101" s="18">
        <f t="shared" si="13"/>
        <v>46</v>
      </c>
    </row>
    <row r="102" spans="1:12" ht="15" thickTop="1" x14ac:dyDescent="0.3"/>
  </sheetData>
  <conditionalFormatting sqref="H2:H101">
    <cfRule type="dataBar" priority="10">
      <dataBar>
        <cfvo type="min"/>
        <cfvo type="max"/>
        <color rgb="FF638EC6"/>
      </dataBar>
      <extLst>
        <ext xmlns:x14="http://schemas.microsoft.com/office/spreadsheetml/2009/9/main" uri="{B025F937-C7B1-47D3-B67F-A62EFF666E3E}">
          <x14:id>{9BCE5147-BEF1-4922-8A8D-40C881318CA5}</x14:id>
        </ext>
      </extLst>
    </cfRule>
    <cfRule type="cellIs" priority="9" operator="greaterThan">
      <formula>"High"</formula>
    </cfRule>
    <cfRule type="containsText" dxfId="16" priority="8" operator="containsText" text="HIGH">
      <formula>NOT(ISERROR(SEARCH("HIGH",H2)))</formula>
    </cfRule>
    <cfRule type="containsText" dxfId="15" priority="7" operator="containsText" text="ME">
      <formula>NOT(ISERROR(SEARCH("ME",H2)))</formula>
    </cfRule>
    <cfRule type="containsText" dxfId="14" priority="6" operator="containsText" text="LOW">
      <formula>NOT(ISERROR(SEARCH("LOW",H2)))</formula>
    </cfRule>
  </conditionalFormatting>
  <conditionalFormatting sqref="D2:D101">
    <cfRule type="containsText" dxfId="2" priority="5" operator="containsText" text="Senior">
      <formula>NOT(ISERROR(SEARCH("Senior",D2)))</formula>
    </cfRule>
    <cfRule type="containsText" dxfId="3" priority="2" operator="containsText" text="middle">
      <formula>NOT(ISERROR(SEARCH("middle",D2)))</formula>
    </cfRule>
    <cfRule type="containsText" dxfId="4" priority="1" operator="containsText" text="junior">
      <formula>NOT(ISERROR(SEARCH("junior",D2)))</formula>
    </cfRule>
  </conditionalFormatting>
  <conditionalFormatting sqref="D2">
    <cfRule type="containsText" dxfId="13" priority="4" operator="containsText" text="midd">
      <formula>NOT(ISERROR(SEARCH("midd",D2)))</formula>
    </cfRule>
    <cfRule type="containsText" dxfId="12" priority="3" operator="containsText" text="midd">
      <formula>NOT(ISERROR(SEARCH("midd",D2)))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BCE5147-BEF1-4922-8A8D-40C881318CA5}">
            <x14:dataBar minLength="0" maxLength="100" border="1" negativeBarBorderColorSameAsPositive="0">
              <x14:cfvo type="autoMin"/>
              <x14:cfvo type="autoMax"/>
              <x14:borderColor rgb="FF638EC6"/>
              <x14:negativeFillColor rgb="FFFF0000"/>
              <x14:negativeBorderColor rgb="FFFF0000"/>
              <x14:axisColor rgb="FF000000"/>
            </x14:dataBar>
          </x14:cfRule>
          <xm:sqref>H2:H101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0"/>
  <sheetViews>
    <sheetView workbookViewId="0">
      <selection activeCell="B6" sqref="B6"/>
    </sheetView>
  </sheetViews>
  <sheetFormatPr defaultRowHeight="14.4" x14ac:dyDescent="0.3"/>
  <cols>
    <col min="1" max="1" width="14.88671875" bestFit="1" customWidth="1"/>
    <col min="2" max="2" width="19.6640625" bestFit="1" customWidth="1"/>
    <col min="3" max="3" width="12.6640625" bestFit="1" customWidth="1"/>
    <col min="4" max="4" width="12.33203125" bestFit="1" customWidth="1"/>
    <col min="5" max="5" width="11" bestFit="1" customWidth="1"/>
    <col min="6" max="6" width="5.77734375" bestFit="1" customWidth="1"/>
    <col min="7" max="7" width="15.33203125" bestFit="1" customWidth="1"/>
    <col min="8" max="8" width="10.77734375" bestFit="1" customWidth="1"/>
  </cols>
  <sheetData>
    <row r="3" spans="1:2" x14ac:dyDescent="0.3">
      <c r="A3" s="2" t="s">
        <v>123</v>
      </c>
      <c r="B3" t="s">
        <v>132</v>
      </c>
    </row>
    <row r="4" spans="1:2" x14ac:dyDescent="0.3">
      <c r="A4" s="3" t="s">
        <v>12</v>
      </c>
      <c r="B4" s="15">
        <v>18</v>
      </c>
    </row>
    <row r="5" spans="1:2" x14ac:dyDescent="0.3">
      <c r="A5" s="3" t="s">
        <v>15</v>
      </c>
      <c r="B5" s="15">
        <v>18</v>
      </c>
    </row>
    <row r="6" spans="1:2" x14ac:dyDescent="0.3">
      <c r="A6" s="3" t="s">
        <v>9</v>
      </c>
      <c r="B6" s="15">
        <v>18</v>
      </c>
    </row>
    <row r="7" spans="1:2" x14ac:dyDescent="0.3">
      <c r="A7" s="3" t="s">
        <v>19</v>
      </c>
      <c r="B7" s="15">
        <v>18</v>
      </c>
    </row>
    <row r="8" spans="1:2" x14ac:dyDescent="0.3">
      <c r="A8" s="3" t="s">
        <v>117</v>
      </c>
      <c r="B8" s="15">
        <v>10</v>
      </c>
    </row>
    <row r="9" spans="1:2" x14ac:dyDescent="0.3">
      <c r="A9" s="3" t="s">
        <v>23</v>
      </c>
      <c r="B9" s="15">
        <v>18</v>
      </c>
    </row>
    <row r="10" spans="1:2" x14ac:dyDescent="0.3">
      <c r="A10" s="3" t="s">
        <v>122</v>
      </c>
      <c r="B10" s="15">
        <v>100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9"/>
  <sheetViews>
    <sheetView workbookViewId="0">
      <selection activeCell="L11" sqref="L11"/>
    </sheetView>
  </sheetViews>
  <sheetFormatPr defaultRowHeight="14.4" x14ac:dyDescent="0.3"/>
  <cols>
    <col min="1" max="1" width="14.88671875" bestFit="1" customWidth="1"/>
    <col min="2" max="2" width="19.44140625" bestFit="1" customWidth="1"/>
  </cols>
  <sheetData>
    <row r="3" spans="1:2" x14ac:dyDescent="0.3">
      <c r="A3" s="2" t="s">
        <v>123</v>
      </c>
      <c r="B3" t="s">
        <v>134</v>
      </c>
    </row>
    <row r="4" spans="1:2" x14ac:dyDescent="0.3">
      <c r="A4" s="3" t="s">
        <v>12</v>
      </c>
      <c r="B4" s="15">
        <v>808553</v>
      </c>
    </row>
    <row r="5" spans="1:2" x14ac:dyDescent="0.3">
      <c r="A5" s="3" t="s">
        <v>15</v>
      </c>
      <c r="B5" s="15">
        <v>694376</v>
      </c>
    </row>
    <row r="6" spans="1:2" x14ac:dyDescent="0.3">
      <c r="A6" s="3" t="s">
        <v>9</v>
      </c>
      <c r="B6" s="15">
        <v>837010</v>
      </c>
    </row>
    <row r="7" spans="1:2" x14ac:dyDescent="0.3">
      <c r="A7" s="3" t="s">
        <v>19</v>
      </c>
      <c r="B7" s="15">
        <v>814885</v>
      </c>
    </row>
    <row r="8" spans="1:2" x14ac:dyDescent="0.3">
      <c r="A8" s="3" t="s">
        <v>117</v>
      </c>
      <c r="B8" s="15">
        <v>412222</v>
      </c>
    </row>
    <row r="9" spans="1:2" x14ac:dyDescent="0.3">
      <c r="A9" s="3" t="s">
        <v>23</v>
      </c>
      <c r="B9" s="15">
        <v>777614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4:B14"/>
  <sheetViews>
    <sheetView workbookViewId="0">
      <selection activeCell="W5" sqref="W5"/>
    </sheetView>
  </sheetViews>
  <sheetFormatPr defaultRowHeight="14.4" x14ac:dyDescent="0.3"/>
  <cols>
    <col min="1" max="1" width="21" bestFit="1" customWidth="1"/>
    <col min="2" max="2" width="17.6640625" bestFit="1" customWidth="1"/>
    <col min="3" max="3" width="12.6640625" bestFit="1" customWidth="1"/>
    <col min="4" max="4" width="12.33203125" bestFit="1" customWidth="1"/>
    <col min="5" max="5" width="11" bestFit="1" customWidth="1"/>
    <col min="6" max="6" width="5.77734375" bestFit="1" customWidth="1"/>
    <col min="7" max="7" width="15.33203125" bestFit="1" customWidth="1"/>
    <col min="8" max="8" width="10.77734375" bestFit="1" customWidth="1"/>
    <col min="9" max="44" width="3" bestFit="1" customWidth="1"/>
    <col min="45" max="45" width="10.77734375" bestFit="1" customWidth="1"/>
  </cols>
  <sheetData>
    <row r="4" spans="1:2" x14ac:dyDescent="0.3">
      <c r="A4" s="2" t="s">
        <v>123</v>
      </c>
      <c r="B4" t="s">
        <v>135</v>
      </c>
    </row>
    <row r="5" spans="1:2" x14ac:dyDescent="0.3">
      <c r="A5" s="3" t="s">
        <v>32</v>
      </c>
      <c r="B5" s="15">
        <v>157370</v>
      </c>
    </row>
    <row r="6" spans="1:2" x14ac:dyDescent="0.3">
      <c r="A6" s="3" t="s">
        <v>8</v>
      </c>
      <c r="B6" s="15">
        <v>164989</v>
      </c>
    </row>
    <row r="7" spans="1:2" x14ac:dyDescent="0.3">
      <c r="A7" s="3" t="s">
        <v>48</v>
      </c>
      <c r="B7" s="15">
        <v>160225</v>
      </c>
    </row>
    <row r="8" spans="1:2" x14ac:dyDescent="0.3">
      <c r="A8" s="3" t="s">
        <v>39</v>
      </c>
      <c r="B8" s="15">
        <v>150647</v>
      </c>
    </row>
    <row r="9" spans="1:2" x14ac:dyDescent="0.3">
      <c r="A9" s="3" t="s">
        <v>54</v>
      </c>
      <c r="B9" s="15">
        <v>157597</v>
      </c>
    </row>
    <row r="10" spans="1:2" x14ac:dyDescent="0.3">
      <c r="A10" s="3" t="s">
        <v>17</v>
      </c>
      <c r="B10" s="15">
        <v>144973</v>
      </c>
    </row>
    <row r="11" spans="1:2" x14ac:dyDescent="0.3">
      <c r="A11" s="3" t="s">
        <v>30</v>
      </c>
      <c r="B11" s="15">
        <v>167127</v>
      </c>
    </row>
    <row r="12" spans="1:2" x14ac:dyDescent="0.3">
      <c r="A12" s="3" t="s">
        <v>21</v>
      </c>
      <c r="B12" s="15">
        <v>142420</v>
      </c>
    </row>
    <row r="13" spans="1:2" x14ac:dyDescent="0.3">
      <c r="A13" s="3" t="s">
        <v>42</v>
      </c>
      <c r="B13" s="15">
        <v>183799</v>
      </c>
    </row>
    <row r="14" spans="1:2" x14ac:dyDescent="0.3">
      <c r="A14" s="3" t="s">
        <v>28</v>
      </c>
      <c r="B14" s="15">
        <v>182292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0"/>
  <sheetViews>
    <sheetView workbookViewId="0">
      <selection activeCell="K5" sqref="K5"/>
    </sheetView>
  </sheetViews>
  <sheetFormatPr defaultRowHeight="14.4" x14ac:dyDescent="0.3"/>
  <cols>
    <col min="1" max="1" width="12.5546875" bestFit="1" customWidth="1"/>
    <col min="2" max="2" width="12.33203125" bestFit="1" customWidth="1"/>
  </cols>
  <sheetData>
    <row r="3" spans="1:2" x14ac:dyDescent="0.3">
      <c r="A3" s="2" t="s">
        <v>123</v>
      </c>
      <c r="B3" t="s">
        <v>136</v>
      </c>
    </row>
    <row r="4" spans="1:2" x14ac:dyDescent="0.3">
      <c r="A4" s="3" t="s">
        <v>13</v>
      </c>
      <c r="B4">
        <v>780889</v>
      </c>
    </row>
    <row r="5" spans="1:2" x14ac:dyDescent="0.3">
      <c r="A5" s="3" t="s">
        <v>24</v>
      </c>
      <c r="B5">
        <v>702728</v>
      </c>
    </row>
    <row r="6" spans="1:2" x14ac:dyDescent="0.3">
      <c r="A6" s="3" t="s">
        <v>27</v>
      </c>
      <c r="B6">
        <v>731500</v>
      </c>
    </row>
    <row r="7" spans="1:2" x14ac:dyDescent="0.3">
      <c r="A7" s="3" t="s">
        <v>10</v>
      </c>
      <c r="B7">
        <v>730129</v>
      </c>
    </row>
    <row r="8" spans="1:2" x14ac:dyDescent="0.3">
      <c r="A8" s="3" t="s">
        <v>20</v>
      </c>
      <c r="B8">
        <v>729022</v>
      </c>
    </row>
    <row r="9" spans="1:2" x14ac:dyDescent="0.3">
      <c r="A9" s="3" t="s">
        <v>16</v>
      </c>
      <c r="B9">
        <v>670392</v>
      </c>
    </row>
    <row r="10" spans="1:2" x14ac:dyDescent="0.3">
      <c r="A10" s="3" t="s">
        <v>122</v>
      </c>
      <c r="B10">
        <v>4344660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7"/>
  <sheetViews>
    <sheetView workbookViewId="0">
      <selection activeCell="M11" sqref="M11"/>
    </sheetView>
  </sheetViews>
  <sheetFormatPr defaultRowHeight="14.4" x14ac:dyDescent="0.3"/>
  <cols>
    <col min="1" max="1" width="12.5546875" bestFit="1" customWidth="1"/>
    <col min="2" max="2" width="17.5546875" bestFit="1" customWidth="1"/>
    <col min="3" max="3" width="10.5546875" bestFit="1" customWidth="1"/>
    <col min="4" max="4" width="7" bestFit="1" customWidth="1"/>
    <col min="5" max="5" width="10.77734375" bestFit="1" customWidth="1"/>
    <col min="6" max="6" width="5.77734375" bestFit="1" customWidth="1"/>
    <col min="7" max="7" width="15.33203125" bestFit="1" customWidth="1"/>
    <col min="8" max="8" width="10.77734375" bestFit="1" customWidth="1"/>
  </cols>
  <sheetData>
    <row r="3" spans="1:2" x14ac:dyDescent="0.3">
      <c r="A3" s="2" t="s">
        <v>123</v>
      </c>
      <c r="B3" t="s">
        <v>137</v>
      </c>
    </row>
    <row r="4" spans="1:2" x14ac:dyDescent="0.3">
      <c r="A4" s="3" t="s">
        <v>128</v>
      </c>
      <c r="B4" s="15">
        <v>2142834</v>
      </c>
    </row>
    <row r="5" spans="1:2" x14ac:dyDescent="0.3">
      <c r="A5" s="3" t="s">
        <v>129</v>
      </c>
      <c r="B5" s="15">
        <v>1816771</v>
      </c>
    </row>
    <row r="6" spans="1:2" x14ac:dyDescent="0.3">
      <c r="A6" s="3" t="s">
        <v>130</v>
      </c>
      <c r="B6" s="15">
        <v>385055</v>
      </c>
    </row>
    <row r="7" spans="1:2" x14ac:dyDescent="0.3">
      <c r="A7" s="3" t="s">
        <v>122</v>
      </c>
      <c r="B7" s="15">
        <v>4344660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7"/>
  <sheetViews>
    <sheetView workbookViewId="0">
      <selection activeCell="I4" sqref="I4"/>
    </sheetView>
  </sheetViews>
  <sheetFormatPr defaultRowHeight="14.4" x14ac:dyDescent="0.3"/>
  <cols>
    <col min="1" max="1" width="12.5546875" bestFit="1" customWidth="1"/>
    <col min="2" max="2" width="19.77734375" bestFit="1" customWidth="1"/>
    <col min="3" max="3" width="10.5546875" bestFit="1" customWidth="1"/>
    <col min="4" max="4" width="7" bestFit="1" customWidth="1"/>
    <col min="5" max="5" width="10.77734375" bestFit="1" customWidth="1"/>
    <col min="6" max="6" width="15.5546875" bestFit="1" customWidth="1"/>
    <col min="7" max="7" width="10.77734375" bestFit="1" customWidth="1"/>
  </cols>
  <sheetData>
    <row r="3" spans="1:2" x14ac:dyDescent="0.3">
      <c r="A3" s="2" t="s">
        <v>123</v>
      </c>
      <c r="B3" t="s">
        <v>124</v>
      </c>
    </row>
    <row r="4" spans="1:2" x14ac:dyDescent="0.3">
      <c r="A4" s="3" t="s">
        <v>126</v>
      </c>
      <c r="B4" s="15">
        <v>21</v>
      </c>
    </row>
    <row r="5" spans="1:2" x14ac:dyDescent="0.3">
      <c r="A5" s="3" t="s">
        <v>127</v>
      </c>
      <c r="B5" s="15">
        <v>50</v>
      </c>
    </row>
    <row r="6" spans="1:2" x14ac:dyDescent="0.3">
      <c r="A6" s="3" t="s">
        <v>125</v>
      </c>
      <c r="B6" s="15">
        <v>29</v>
      </c>
    </row>
    <row r="7" spans="1:2" x14ac:dyDescent="0.3">
      <c r="A7" s="3" t="s">
        <v>122</v>
      </c>
      <c r="B7" s="15">
        <v>100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E11"/>
  <sheetViews>
    <sheetView workbookViewId="0">
      <selection activeCell="N10" sqref="N10"/>
    </sheetView>
  </sheetViews>
  <sheetFormatPr defaultRowHeight="14.4" x14ac:dyDescent="0.3"/>
  <cols>
    <col min="1" max="1" width="31.77734375" bestFit="1" customWidth="1"/>
    <col min="2" max="2" width="15.5546875" bestFit="1" customWidth="1"/>
    <col min="3" max="3" width="10.5546875" bestFit="1" customWidth="1"/>
    <col min="4" max="4" width="7" bestFit="1" customWidth="1"/>
    <col min="5" max="5" width="10.77734375" bestFit="1" customWidth="1"/>
  </cols>
  <sheetData>
    <row r="3" spans="1:5" x14ac:dyDescent="0.3">
      <c r="A3" s="2" t="s">
        <v>133</v>
      </c>
      <c r="B3" s="2" t="s">
        <v>121</v>
      </c>
    </row>
    <row r="4" spans="1:5" x14ac:dyDescent="0.3">
      <c r="A4" s="2" t="s">
        <v>123</v>
      </c>
      <c r="B4" t="s">
        <v>128</v>
      </c>
      <c r="C4" t="s">
        <v>129</v>
      </c>
      <c r="D4" t="s">
        <v>130</v>
      </c>
      <c r="E4" t="s">
        <v>122</v>
      </c>
    </row>
    <row r="5" spans="1:5" x14ac:dyDescent="0.3">
      <c r="A5" s="3" t="s">
        <v>12</v>
      </c>
      <c r="B5">
        <v>531486</v>
      </c>
      <c r="C5">
        <v>277067</v>
      </c>
      <c r="E5">
        <v>808553</v>
      </c>
    </row>
    <row r="6" spans="1:5" x14ac:dyDescent="0.3">
      <c r="A6" s="3" t="s">
        <v>15</v>
      </c>
      <c r="B6">
        <v>263468</v>
      </c>
      <c r="C6">
        <v>306406</v>
      </c>
      <c r="D6">
        <v>124502</v>
      </c>
      <c r="E6">
        <v>694376</v>
      </c>
    </row>
    <row r="7" spans="1:5" x14ac:dyDescent="0.3">
      <c r="A7" s="3" t="s">
        <v>9</v>
      </c>
      <c r="B7">
        <v>492280</v>
      </c>
      <c r="C7">
        <v>208309</v>
      </c>
      <c r="D7">
        <v>136421</v>
      </c>
      <c r="E7">
        <v>837010</v>
      </c>
    </row>
    <row r="8" spans="1:5" x14ac:dyDescent="0.3">
      <c r="A8" s="3" t="s">
        <v>19</v>
      </c>
      <c r="B8">
        <v>339238</v>
      </c>
      <c r="C8">
        <v>437277</v>
      </c>
      <c r="D8">
        <v>38370</v>
      </c>
      <c r="E8">
        <v>814885</v>
      </c>
    </row>
    <row r="9" spans="1:5" x14ac:dyDescent="0.3">
      <c r="A9" s="3" t="s">
        <v>117</v>
      </c>
      <c r="B9">
        <v>166863</v>
      </c>
      <c r="C9">
        <v>245359</v>
      </c>
      <c r="E9">
        <v>412222</v>
      </c>
    </row>
    <row r="10" spans="1:5" x14ac:dyDescent="0.3">
      <c r="A10" s="3" t="s">
        <v>23</v>
      </c>
      <c r="B10">
        <v>349499</v>
      </c>
      <c r="C10">
        <v>342353</v>
      </c>
      <c r="D10">
        <v>85762</v>
      </c>
      <c r="E10">
        <v>777614</v>
      </c>
    </row>
    <row r="11" spans="1:5" x14ac:dyDescent="0.3">
      <c r="A11" s="3" t="s">
        <v>122</v>
      </c>
      <c r="B11">
        <v>2142834</v>
      </c>
      <c r="C11">
        <v>1816771</v>
      </c>
      <c r="D11">
        <v>385055</v>
      </c>
      <c r="E11">
        <v>4344660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7"/>
  <sheetViews>
    <sheetView zoomScale="98" workbookViewId="0">
      <selection activeCell="X35" sqref="X35"/>
    </sheetView>
  </sheetViews>
  <sheetFormatPr defaultRowHeight="14.4" x14ac:dyDescent="0.3"/>
  <sheetData>
    <row r="1" spans="1:26" x14ac:dyDescent="0.3">
      <c r="A1" s="13" t="s">
        <v>131</v>
      </c>
      <c r="B1" s="14"/>
      <c r="C1" s="14"/>
      <c r="D1" s="14"/>
      <c r="E1" s="14"/>
      <c r="F1" s="14"/>
      <c r="G1" s="14"/>
      <c r="H1" s="14"/>
      <c r="I1" s="14"/>
      <c r="J1" s="14"/>
      <c r="K1" s="14"/>
      <c r="L1" s="14"/>
      <c r="M1" s="14"/>
      <c r="N1" s="14"/>
      <c r="O1" s="14"/>
      <c r="P1" s="14"/>
      <c r="Q1" s="14"/>
      <c r="R1" s="14"/>
      <c r="S1" s="14"/>
      <c r="T1" s="14"/>
      <c r="U1" s="14"/>
      <c r="V1" s="14"/>
      <c r="W1" s="14"/>
      <c r="X1" s="14"/>
      <c r="Y1" s="14"/>
      <c r="Z1" s="14"/>
    </row>
    <row r="2" spans="1:26" x14ac:dyDescent="0.3">
      <c r="A2" s="14"/>
      <c r="B2" s="14"/>
      <c r="C2" s="14"/>
      <c r="D2" s="14"/>
      <c r="E2" s="14"/>
      <c r="F2" s="14"/>
      <c r="G2" s="14"/>
      <c r="H2" s="14"/>
      <c r="I2" s="14"/>
      <c r="J2" s="14"/>
      <c r="K2" s="14"/>
      <c r="L2" s="14"/>
      <c r="M2" s="14"/>
      <c r="N2" s="14"/>
      <c r="O2" s="14"/>
      <c r="P2" s="14"/>
      <c r="Q2" s="14"/>
      <c r="R2" s="14"/>
      <c r="S2" s="14"/>
      <c r="T2" s="14"/>
      <c r="U2" s="14"/>
      <c r="V2" s="14"/>
      <c r="W2" s="14"/>
      <c r="X2" s="14"/>
      <c r="Y2" s="14"/>
      <c r="Z2" s="14"/>
    </row>
    <row r="17" spans="10:10" x14ac:dyDescent="0.3">
      <c r="J17" s="4"/>
    </row>
  </sheetData>
  <mergeCells count="1">
    <mergeCell ref="A1:Z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Formating and cleaning data</vt:lpstr>
      <vt:lpstr>Department Composition</vt:lpstr>
      <vt:lpstr>Salary by Department</vt:lpstr>
      <vt:lpstr>Salary by Employee</vt:lpstr>
      <vt:lpstr> City-wise Salary Split</vt:lpstr>
      <vt:lpstr>Age Group Salary Trend</vt:lpstr>
      <vt:lpstr>Salary Distribution Insight</vt:lpstr>
      <vt:lpstr>Department VS Age Status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Puneet</dc:creator>
  <cp:lastModifiedBy>Puneet</cp:lastModifiedBy>
  <dcterms:created xsi:type="dcterms:W3CDTF">2025-11-03T11:53:42Z</dcterms:created>
  <dcterms:modified xsi:type="dcterms:W3CDTF">2025-11-04T12:53:03Z</dcterms:modified>
</cp:coreProperties>
</file>